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8814563/"/>
    </mc:Choice>
  </mc:AlternateContent>
  <xr:revisionPtr revIDLastSave="0" documentId="13_ncr:1_{379BF0EC-38B0-D44B-89D8-F269C79F9850}" xr6:coauthVersionLast="47" xr6:coauthVersionMax="47" xr10:uidLastSave="{00000000-0000-0000-0000-000000000000}"/>
  <bookViews>
    <workbookView xWindow="25600" yWindow="600" windowWidth="25600" windowHeight="26680" xr2:uid="{4587E860-68CF-482A-BF05-3FDA9E0E1B40}"/>
  </bookViews>
  <sheets>
    <sheet name="Sheet1" sheetId="1" r:id="rId1"/>
  </sheets>
  <externalReferences>
    <externalReference r:id="rId2"/>
  </externalReferences>
  <definedNames>
    <definedName name="_xlnm._FilterDatabase" localSheetId="0" hidden="1">Sheet1!$C$1:$X$44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4" i="1" l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<sst xmlns="http://schemas.openxmlformats.org/spreadsheetml/2006/main" count="517" uniqueCount="235">
  <si>
    <t>Expedia ID</t>
  </si>
  <si>
    <t>Type</t>
  </si>
  <si>
    <t>Property Name</t>
  </si>
  <si>
    <t>Unit name</t>
  </si>
  <si>
    <t>Partner website, Booking, Airbnb, etc.</t>
  </si>
  <si>
    <t>Room Code
if you use specific codes to identify the rooms listed in your property</t>
  </si>
  <si>
    <t>Room Type Category
Mandatory</t>
  </si>
  <si>
    <t>Custom text label
If applicable, skip if none</t>
  </si>
  <si>
    <t>Number of
Full Bathrooms</t>
  </si>
  <si>
    <t>Number of
 Bedrooms</t>
  </si>
  <si>
    <t>Max Occupancy</t>
  </si>
  <si>
    <t>Sofa beds available outside bedrooms?
(Free text)</t>
  </si>
  <si>
    <t>Pick the bed(s) available</t>
  </si>
  <si>
    <t>136646063</t>
  </si>
  <si>
    <t>Sol Barranco Apartment by Geko</t>
  </si>
  <si>
    <t>Apartment, 2 bedrooms</t>
  </si>
  <si>
    <t>https://www.booking.com/searchresults.es.html?aid=304142&amp;label=gen173bo-10CAsosQFCEXJvc3NlLTJici1ieS1nZWtvSDNYA2ixAYgBAZgBM7gBB8gBDNgBA-gBAfgBAYgCAZgCBqgCAbgC5YyY1AbAAgHSAiQwNjExZmQxNy02MjFiLTQ4YjUtOGIxOC0zMmI4NjQzNTU5NGbYAgHgAgE&amp;group_adults=2&amp;redirected=1&amp;city=-352647&amp;highlighted_hotels=13695780&amp;hlrd=without_av&amp;source=hotel&amp;checkin=2027-01-01&amp;checkout=2027-01-15&amp;sid=b1a45ef40e74ae8fed93a4731b3eb671</t>
  </si>
  <si>
    <t>El Sol 176 1401</t>
  </si>
  <si>
    <t>Apartment</t>
  </si>
  <si>
    <t>1401</t>
  </si>
  <si>
    <t>no</t>
  </si>
  <si>
    <t>1 QueenBed</t>
  </si>
  <si>
    <t>1 TwinBed</t>
  </si>
  <si>
    <t>Apartment, 1 bedroom</t>
  </si>
  <si>
    <t>408</t>
  </si>
  <si>
    <t>Yes - 1 twinbed sofa</t>
  </si>
  <si>
    <t>Loft</t>
  </si>
  <si>
    <t>1003</t>
  </si>
  <si>
    <t>801</t>
  </si>
  <si>
    <t>1 FullBed</t>
  </si>
  <si>
    <t>Apartment, 3 bedrooms</t>
  </si>
  <si>
    <t>136646073</t>
  </si>
  <si>
    <t>Bohemian Barranco Apartments by Geko</t>
  </si>
  <si>
    <t>https://www.booking.com/hotel/pe/chasing-cat-1br-by-geko.es.html?label=gen173bo-10CAsosQFCF2NoYXNpbmctY2F0LTFici1ieS1nZWtvSDNYA2ixAYgBAZgBM7gBB8gBDNgBA-gBAfgBAYgCAZgCBqgCAbgCi4yY1AbAAgHSAiQ2Mjg0NGRlZS03ZTA4LTQ2ODItYjcwYS02OTY3YzE5ZDM0ZTDYAgHgAgE&amp;sid=b1a45ef40e74ae8fed93a4731b3eb671&amp;dist=0&amp;group_adults=2&amp;sb_price_type=total&amp;type=total&amp;</t>
  </si>
  <si>
    <t>Monumental 206</t>
  </si>
  <si>
    <t>206</t>
  </si>
  <si>
    <t>501</t>
  </si>
  <si>
    <t>136646075</t>
  </si>
  <si>
    <t>Miraflores Pardo Suites by Geko</t>
  </si>
  <si>
    <t>https://www.booking.com/hotel/pe/sky-flatt-2br-by-geko.es.html?label=gen173bo-10CAsosQFCFXNreS1mbGF0dC0yYnItYnktZ2Vrb0gzWANosQGIAQGYATO4AQfIAQzYAQPoAQH4AQGIAgGYAgaoAgG4AuSLmNQGwAIB0gIkMmUzYzRmMTUtZTkyYi00YTI5LTllN2MtNDBjOWI3MzRiZDZm2AIB4AIB&amp;sid=b1a45ef40e74ae8fed93a4731b3eb671&amp;dist=0&amp;group_adults=2&amp;sb_price_type=total&amp;type=total&amp;</t>
  </si>
  <si>
    <t>Pardo 610 1304</t>
  </si>
  <si>
    <t>1304</t>
  </si>
  <si>
    <t>1 KingBed</t>
  </si>
  <si>
    <t>2 TwinBed</t>
  </si>
  <si>
    <t>136646076</t>
  </si>
  <si>
    <t>Miraflores City Diagonal Apartments by Geko</t>
  </si>
  <si>
    <t>https://www.booking.com/hotel/pe/green-flat-2br-by-geko.es.html?label=gen173bo-10CAsosQFCFmdyZWVuLWZsYXQtMmJyLWJ5LWdla29IM1gDaLEBiAEBmAEzuAEHyAEM2AED6AEB-AEBiAIBmAIGqAIBuALVi5jUBsACAdICJDhhNWZmOWRmLTliMjYtNGRhYS1hMzdhLThhZDllZDg0MDYzZdgCAeACAQ&amp;sid=b1a45ef40e74ae8fed93a4731b3eb671&amp;dist=0&amp;group_adults=2&amp;sb_price_type=total&amp;type=total&amp;</t>
  </si>
  <si>
    <t>San Nicolas 306</t>
  </si>
  <si>
    <t>306</t>
  </si>
  <si>
    <t>104</t>
  </si>
  <si>
    <t>136646078</t>
  </si>
  <si>
    <t>Miraflores Central Apartments by Geko</t>
  </si>
  <si>
    <t>https://www.booking.com/searchresults.es.html?aid=304142&amp;label=gen173bo-10CAsosQFCEGNvY28tM2JyLWJ5LWdla29IM1gDaLEBiAEBmAEzuAEHyAEM2AED6AEB-AEBiAIBmAIGqAIBuAKxi5jUBsACAdICJDNlOTcwM2E1LTliOWUtNDhhZC05ZjkwLWZlOTA2MDJkNGM1NtgCAeACAQ&amp;group_adults=2&amp;redirected=1&amp;city=-352647&amp;highlighted_hotels=13817359&amp;hlrd=without_av&amp;source=hotel&amp;checkin=2027-01-01&amp;checkout=2027-01-15&amp;sid=b1a45ef40e74ae8fed93a4731b3eb671</t>
  </si>
  <si>
    <t>Ricardo P 827 604</t>
  </si>
  <si>
    <t>604</t>
  </si>
  <si>
    <t>136646081</t>
  </si>
  <si>
    <t>Barranco Sailor Apartment by Geko</t>
  </si>
  <si>
    <t>https://www.booking.com/hotel/pe/the-sailor-flat-2br-by-geko.es.html?label=gen173bo-10CAsosQFCG3RoZS1zYWlsb3ItZmxhdC0yYnItYnktZ2Vrb0gzWANosQGIAQGYATO4AQfIAQzYAQPoAQH4AQGIAgGYAgaoAgG4AvSKmNQGwAIB0gIkNDIzZTEyMDItMDZiYS00OGI2LTk3NTYtY2Q0NzY4OGIyMTZk2AIB4AIB&amp;sid=b1a45ef40e74ae8fed93a4731b3eb671&amp;dist=0&amp;group_adults=2&amp;sb_price_type=total&amp;type=total&amp;</t>
  </si>
  <si>
    <t>Mimosas 263 1103</t>
  </si>
  <si>
    <t>1103</t>
  </si>
  <si>
    <t>136646082</t>
  </si>
  <si>
    <t>Elegant San Martín Barranco Apartment by Geko</t>
  </si>
  <si>
    <t>https://www.booking.com/hotel/pe/the-bird-2br-by-geko.es.html?label=gen173bo-10CAsosQFCFHRoZS1iaXJkLTJici1ieS1nZWtvSDNYA2ixAYgBAZgBM7gBB8gBDNgBA-gBAfgBAYgCAZgCBqgCAbgC44qY1AbAAgHSAiRlOTVhZDk3Ny1lZDc0LTRhYTMtYjFjMi0yZTBkNGE1NDlhNDbYAgHgAgE&amp;sid=b1a45ef40e74ae8fed93a4731b3eb671&amp;dist=0&amp;group_adults=2&amp;sb_price_type=total&amp;type=total&amp;</t>
  </si>
  <si>
    <t>San Martin 755 603</t>
  </si>
  <si>
    <t>603</t>
  </si>
  <si>
    <t>201</t>
  </si>
  <si>
    <t>136646085</t>
  </si>
  <si>
    <t>Grand Camino Real Residences by Geko</t>
  </si>
  <si>
    <t>https://www.booking.com/hotel/pe/the-classy-loft-by-geko-san-isidro.es.html?label=gen173bo-10CAsosQFCInRoZS1jbGFzc3ktbG9mdC1ieS1nZWtvLXNhbi1pc2lkcm9IM1gDaLEBiAEBmAEzuAEHyAEM2AED6AEB-AEBiAIBmAIGqAIBuALBipjUBsACAdICJGNmMDVjOTdmLTA4YTQtNDUyMi04ODNiLTkxOTBjMGU1ZDVmNdgCAeACAQ&amp;sid=b1a45ef40e74ae8fed93a4731b3eb671&amp;dist=0&amp;group_adults=2&amp;sb_price_type=total&amp;type=total&amp;</t>
  </si>
  <si>
    <t>Camino R 1220 1201</t>
  </si>
  <si>
    <t>1201</t>
  </si>
  <si>
    <t>136646086</t>
  </si>
  <si>
    <t>Contemporary Pardo Miraflores Apartment by Geko</t>
  </si>
  <si>
    <t>https://www.booking.com/hotel/pe/caoba-3br-by-geko.es.html?label=gen173bo-10CAsosQFCEWNhb2JhLTNici1ieS1nZWtvSDNYA2ixAYgBAZgBM7gBB8gBDNgBA-gBAfgBAYgCAZgCBqgCAbgCs4qY1AbAAgHSAiQ4NWY4NDhiYS0wMWY5LTRhYmQtOTJiNi1jMTQ2MDIxNjM4NGPYAgHgAgE&amp;sid=b1a45ef40e74ae8fed93a4731b3eb671&amp;dist=0&amp;group_adults=2&amp;sb_price_type=total&amp;type=total&amp;</t>
  </si>
  <si>
    <t>Alexander 1401</t>
  </si>
  <si>
    <t>136646088</t>
  </si>
  <si>
    <t>Modern Dalias Miraflores Apartment by Geko</t>
  </si>
  <si>
    <t>https://www.booking.com/hotel/pe/wood-house-3br-by-geko.es.html?label=gen173bo-10CAsosQFCFndvb2QtaG91c2UtM2JyLWJ5LWdla29IM1gDaLEBiAEBmAEzuAEHyAEM2AED6AEB-AEBiAIBmAIGqAIBuAKiipjUBsACAdICJDA3NDQyNjVmLWNmMGYtNGZjMC05MGIyLWZkZmM1ZDQ0NDBhNtgCAeACAQ&amp;sid=b1a45ef40e74ae8fed93a4731b3eb671&amp;dist=0&amp;group_adults=2&amp;sb_price_type=total&amp;type=total&amp;</t>
  </si>
  <si>
    <t>Dalias 251 304</t>
  </si>
  <si>
    <t>304</t>
  </si>
  <si>
    <t>136646090</t>
  </si>
  <si>
    <t>Stylish La Mar Miraflores Apartment by Geko</t>
  </si>
  <si>
    <t>https://www.booking.com/hotel/pe/syberia-2br-by-geko.es.html?label=gen173bo-10CAsosQFCE3N5YmVyaWEtMmJyLWJ5LWdla29IM1gDaLEBiAEBmAEzuAEHyAEM2AED6AEB-AEBiAIBmAIGqAIBuAKVipjUBsACAdICJDYyZDBmODlmLTUyMTEtNDM1Zi1iN2Y5LTU5MWM3NTc5NjU1N9gCAeACAQ&amp;sid=b1a45ef40e74ae8fed93a4731b3eb671&amp;dist=0&amp;group_adults=2&amp;sb_price_type=total&amp;type=total&amp;</t>
  </si>
  <si>
    <t>Mariscal M 834 408</t>
  </si>
  <si>
    <t>202</t>
  </si>
  <si>
    <t>803</t>
  </si>
  <si>
    <t>601</t>
  </si>
  <si>
    <t>136646096</t>
  </si>
  <si>
    <t>Elegant Angamos Oeste Residence by Geko</t>
  </si>
  <si>
    <t>https://www.booking.com/hotel/pe/hakuna-3br-by-geko-miraflores3.es.html?label=gen173bo-10CAsosQFCHmhha3VuYS0zYnItYnktZ2Vrby1taXJhZmxvcmVzM0gzWANosQGIAQGYATO4AQfIAQzYAQPoAQH4AQGIAgGYAgaoAgG4AtGJmNQGwAIB0gIkZjBlODcwZjgtYjdlMy00OTQyLTkyNjYtYzU1N2ZiNTQxNTJl2AIB4AIB&amp;sid=b1a45ef40e74ae8fed93a4731b3eb671&amp;dist=0&amp;group_adults=2&amp;sb_price_type=total&amp;type=total&amp;</t>
  </si>
  <si>
    <t>Angamos O 371 202</t>
  </si>
  <si>
    <t>136646097</t>
  </si>
  <si>
    <t>José Gonzales 626 Apartments near Kennedy Park by Geko</t>
  </si>
  <si>
    <t>https://www.booking.com/hotel/pe/montevideo-2br-by-geko.es.html?label=gen173bo-10CAsosQFCFm1vbnRldmlkZW8tMmJyLWJ5LWdla29IM1gDaLEBiAEBmAEzuAEHyAEM2AED6AEB-AEBiAIBmAIGqAIBuALDiZjUBsACAdICJDAxZGZlMWUyLTdlYWMtNDA3Yy05OGIwLTk4ZjlhYmQyMmZlOdgCAeACAQ&amp;sid=b1a45ef40e74ae8fed93a4731b3eb671&amp;dist=0&amp;group_adults=2&amp;sb_price_type=total&amp;type=total&amp;</t>
  </si>
  <si>
    <t>Jose 403</t>
  </si>
  <si>
    <t>403</t>
  </si>
  <si>
    <t>136646100</t>
  </si>
  <si>
    <t>Urban Schell Miraflores Apartment by Geko</t>
  </si>
  <si>
    <t>https://www.booking.com/hotel/pe/the-kennedy-3br-by-geko.es.html?label=gen173bo-10CAsosQFCF3RoZS1rZW5uZWR5LTNici1ieS1nZWtvSDNYA2ixAYgBAZgBM7gBB8gBDNgBA-gBAfgBAYgCAZgCBqgCAbgCs4mY1AbAAgHSAiQ1NmY1YzJlYS1lZjJlLTQ3ODctYjQwYy05NmVhNTczZDU2ZWLYAgHgAgE&amp;sid=b1a45ef40e74ae8fed93a4731b3eb671&amp;dist=0&amp;group_adults=2&amp;sb_price_type=total&amp;type=total&amp;</t>
  </si>
  <si>
    <t>Schell 120 301</t>
  </si>
  <si>
    <t>301</t>
  </si>
  <si>
    <t>136646106</t>
  </si>
  <si>
    <t>Barranco San Martín Suites by Geko</t>
  </si>
  <si>
    <t>https://www.booking.com/searchresults.es.html?aid=304142&amp;label=gen173bo-10CAsosQFCF2RvcGFtaW5lLWR1cGxleC1ieS1nZWtvSDNYA2ixAYgBAZgBM7gBB8gBDNgBA-gBAfgBAYgCAZgCBqgCAbgCm4mY1AbAAgHSAiRlMTY3NGIyZC1iNTJhLTQ0NzYtOTM3YS05YzZjYjA1MGNmMjPYAgHgAgE&amp;group_adults=2&amp;redirected=1&amp;city=-352647&amp;highlighted_hotels=13839527&amp;hlrd=without_av&amp;source=hotel&amp;checkin=2027-01-01&amp;checkout=2027-01-15&amp;sid=b1a45ef40e74ae8fed93a4731b3eb671</t>
  </si>
  <si>
    <t>San Martin 600 803</t>
  </si>
  <si>
    <t>136646110</t>
  </si>
  <si>
    <t>Elegant Canseco Residence by Geko</t>
  </si>
  <si>
    <t>https://www.booking.com/searchresults.es.html?aid=304142&amp;label=gen173bo-10CAsosQFCEm1lemNhbC0xYnItYnktZ2Vrb0gzWANosQGIAQGYATO4AQfIAQzYAQPoAQH4AQGIAgGYAgaoAgG4AuaImNQGwAIB0gIkZTg3M2Q4ZWYtODQ2Zi00ZjFmLWE0YTEtZDFjZGI2M2ZhMTY52AIB4AIB&amp;group_adults=2&amp;redirected=1&amp;city=-352647&amp;highlighted_hotels=13853900&amp;hlrd=without_av&amp;source=hotel&amp;checkin=2027-01-01&amp;checkout=2027-01-15&amp;sid=b1a45ef40e74ae8fed93a4731b3eb671</t>
  </si>
  <si>
    <t>Diez Canseco 487 403</t>
  </si>
  <si>
    <t>136646116</t>
  </si>
  <si>
    <t>Grand San Martín Residences by Geko</t>
  </si>
  <si>
    <t>https://www.booking.com/hotel/pe/samoa-1br-by-geko.es.html?label=gen173bo-10CAsosQFCEXNhbW9hLTFici1ieS1nZWtvSDNYA2ixAYgBAZgBM7gBB8gBDNgBA-gBAfgBAYgCAZgCBqgCAbgCkYiY1AbAAgHSAiQxZmRiNmI0Zi1mOTExLTRjZjgtYmUyYy1hODUyYmRlYTAyZDHYAgHgAgE&amp;sid=b1a45ef40e74ae8fed93a4731b3eb671&amp;dist=0&amp;group_adults=2&amp;sb_price_type=total&amp;type=total&amp;</t>
  </si>
  <si>
    <t>Cozy Apartament 201</t>
  </si>
  <si>
    <t>136646118</t>
  </si>
  <si>
    <t>Javier Prado Oeste Apartments by Geko</t>
  </si>
  <si>
    <t>https://www.booking.com/hotel/pe/nygroni-1br-by-geko.es.html?label=gen173bo-10CAsosQFCE255Z3JvbmktMWJyLWJ5LWdla29IM1gDaLEBiAEBmAEzuAEHyAEM2AED6AEB-AEBiAIBmAIGqAIBuALsh5jUBsACAdICJGQ0ZWZlNDEwLTdjYzUtNGU5Mi04OGQyLTU1OThmMGY2MDkyNdgCAeACAQ&amp;sid=b1a45ef40e74ae8fed93a4731b3eb671&amp;dist=0&amp;group_adults=2&amp;sb_price_type=total&amp;type=total&amp;</t>
  </si>
  <si>
    <t>Javier P 1485 1203</t>
  </si>
  <si>
    <t>1203</t>
  </si>
  <si>
    <t>136646119</t>
  </si>
  <si>
    <t>Stylish Gálvez 370 Apartments by Geko</t>
  </si>
  <si>
    <t>https://www.booking.com/hotel/pe/the-oak-2br-by-geko.es.html?label=gen173bo-10CAsosQFCE3RoZS1vYWstMmJyLWJ5LWdla29IM1gDaLEBiAEBmAEzuAEHyAEM2AED6AEB-AEBiAIBmAIGqAIBuALch5jUBsACAdICJDM2MzA3Njc0LThkYWItNGEzOS04OTFhLTA3Y2U1OGI5YmE1ZdgCAeACAQ&amp;sid=b1a45ef40e74ae8fed93a4731b3eb671&amp;dist=0&amp;group_adults=2&amp;sb_price_type=total&amp;type=total&amp;</t>
  </si>
  <si>
    <t>Bohem 413</t>
  </si>
  <si>
    <t>413</t>
  </si>
  <si>
    <t>136646123</t>
  </si>
  <si>
    <t>Suárez Signature Apartment by Geko</t>
  </si>
  <si>
    <t>https://www.booking.com/hotel/pe/zafira-1br-by-geko.es.html?label=gen173bo-10CAsosQFCEnphZmlyYS0xYnItYnktZ2Vrb0gzWANosQGIAQGYATO4AQfIAQzYAQPoAQH4AQGIAgGYAgaoAgG4AraHmNQGwAIB0gIkMmZjYjhjYmYtZWM1Yi00NTU3LWIyZDQtMDNiOWM3ZTNkYTRm2AIB4AIB&amp;sid=b1a45ef40e74ae8fed93a4731b3eb671&amp;dist=0&amp;group_adults=2&amp;sb_price_type=total&amp;type=total&amp;</t>
  </si>
  <si>
    <t>Invent S 801</t>
  </si>
  <si>
    <t>136646124</t>
  </si>
  <si>
    <t>Green Los Pinos 156 Residences by Geko</t>
  </si>
  <si>
    <t>https://www.booking.com/hotel/pe/zebbra-1br-by-geko.es.html?label=gen173bo-10CAsosQFCEnplYmJyYS0xYnItYnktZ2Vrb0gzWANosQGIAQGYATO4AQfIAQzYAQPoAQH4AQGIAgGYAgaoAgG4AqSHmNQGwAIB0gIkYjRlNDA4NzctMTQ5My00ZTY5LThhZWMtZWNlZjdjZjA0ZWNl2AIB4AIB&amp;sid=b1a45ef40e74ae8fed93a4731b3eb671&amp;dist=0&amp;group_adults=2&amp;sb_price_type=total&amp;type=total&amp;</t>
  </si>
  <si>
    <t>Los Pinos 156 16-B</t>
  </si>
  <si>
    <t>16-B</t>
  </si>
  <si>
    <t>136646125</t>
  </si>
  <si>
    <t>Coronel Portillo Residences by Geko</t>
  </si>
  <si>
    <t>https://www.booking.com/hotel/pe/golfland-2br-by-geko.es.html?label=gen173bo-10CAsosQFCFGdvbGZsYW5kLTJici1ieS1nZWtvSDNYA2ixAYgBAZgBM7gBB8gBDNgBA-gBAfgBAYgCAZgCBqgCAbgCkoeY1AbAAgHSAiQ2ZDAwODEyMi1jNzU5LTRiNDEtYTRmYS1hYWZmZmFmMTUxYmPYAgHgAgE&amp;sid=b1a45ef40e74ae8fed93a4731b3eb671&amp;dist=0&amp;group_adults=2&amp;sb_price_type=total&amp;type=total&amp;</t>
  </si>
  <si>
    <t>Coronel P 364 1003</t>
  </si>
  <si>
    <t>136646126</t>
  </si>
  <si>
    <t>Chic Bolívar 221 Apartment by Geko</t>
  </si>
  <si>
    <t>https://www.booking.com/searchresults.es.html?aid=304142&amp;label=gen173bo-10CAsosQFCF2dyYWNlLWtlbGx5LTFici1ieS1nZWtvSDNYA2ixAYgBAZgBM7gBB8gBDNgBA-gBAfgBAYgCAZgCBqgCAbgC_YaY1AbAAgHSAiRhY2NjN2U5NC01MGZkLTRkODEtYjI4OS0wMzQ0MzE2OGY0YTbYAgHgAgE&amp;group_adults=2&amp;redirected=1&amp;city=-352647&amp;highlighted_hotels=13875733&amp;hlrd=without_av&amp;source=hotel&amp;checkin=2027-01-01&amp;checkout=2027-01-15&amp;sid=b1a45ef40e74ae8fed93a4731b3eb671</t>
  </si>
  <si>
    <t>Bolivar 221 201</t>
  </si>
  <si>
    <t>136646127</t>
  </si>
  <si>
    <t>Urban San Martín Apartments by Geko</t>
  </si>
  <si>
    <t>https://www.booking.com/hotel/pe/bagheera-2br-bt-geko.es.html?aid=304142&amp;label=gen173bo-10CAsosQFCFGJhZ2hlZXJhLTJici1idC1nZWtvSDNYA2ixAYgBAZgBM7gBB8gBDNgBA-gBAfgBAYgCAZgCBqgCAbgCzoaY1AbAAgHSAiQwZmIxOWI4NC1kZWNmLTRjM2UtOWU1My1lNzQ0OWRiNjAxZDfYAgHgAgE&amp;sid=b1a45ef40e74ae8fed93a4731b3eb671&amp;checkin=2026-08-19&amp;checkout=2026-08-22&amp;dest_id=-352647&amp;dest_type=city&amp;dist=0&amp;group_adults=2&amp;group_children=0&amp;hapos=1&amp;hpos=1&amp;no_rooms=1&amp;req_adults=2&amp;req_children=0&amp;room1=A%2CA&amp;sb_price_type=total&amp;soh=1&amp;sr_order=popularity&amp;srepoch=1787167577&amp;srpvid=6b2d88a83594037f&amp;type=total&amp;ucfs=1&amp;#no_availability_msg</t>
  </si>
  <si>
    <t>San Martin 836 1103</t>
  </si>
  <si>
    <t>136646131</t>
  </si>
  <si>
    <t>Elegant Bolognesi 501 Residences by Geko</t>
  </si>
  <si>
    <t>https://booking.com/hotel/pe/native-1br-by-geko.en.html</t>
  </si>
  <si>
    <t>Bolognesi 501 402</t>
  </si>
  <si>
    <t>402</t>
  </si>
  <si>
    <t>136646132</t>
  </si>
  <si>
    <t>Grand Javier Prado Residences by Geko</t>
  </si>
  <si>
    <t>https://www.booking.com/hotel/pe/the-rooftop-2br-by-geko.es.html?aid=304142&amp;label=gen173bo-10CAsosQFCF3RoZS1yb29mdG9wLTJici1ieS1nZWtvSDNYA2ixAYgBAZgBM7gBB8gBDNgBA-gBAfgBAYgCAZgCBqgCAbgCv4WY1AbAAgHSAiQ2ZDBkMDFjYi0zOGQ3LTRjY2ItYWU2Mi1hNDgyMTU4YWI2MzbYAgHgAgE&amp;sid=b1a45ef40e74ae8fed93a4731b3eb671&amp;checkin=2026-09-01&amp;checkout=2026-09-30&amp;dest_id=-352647&amp;dest_type=city&amp;dist=0&amp;group_adults=2&amp;group_children=0&amp;hapos=1&amp;hpos=1&amp;no_rooms=1&amp;req_adults=2&amp;req_children=0&amp;room1=A%2CA&amp;sb_price_type=total&amp;soh=1&amp;sr_order=popularity&amp;srepoch=1787167431&amp;srpvid=06c38860fb351030&amp;type=total&amp;ucfs=1&amp;#no_availability_msg</t>
  </si>
  <si>
    <t>Gallery 1506</t>
  </si>
  <si>
    <t>1506</t>
  </si>
  <si>
    <t>136646137</t>
  </si>
  <si>
    <t>Stylish La Paz Apartment by Geko</t>
  </si>
  <si>
    <t>https://booking.com/hotel/pe/basilica-3br-by-geko.en.html</t>
  </si>
  <si>
    <t>Boulevard 803</t>
  </si>
  <si>
    <t>1 Queenbed</t>
  </si>
  <si>
    <t>136646140</t>
  </si>
  <si>
    <t>Modern 2BR Apartment with Pool, Gym &amp; Coworking</t>
  </si>
  <si>
    <t>https://www.booking.com/hotel/pe/linden-2br-by-geko.es.html?label=gen173bo-10CAsosQFCEmxpbmRlbi0yYnItYnktZ2Vrb0gzWANosQGIAQGYATO4AQfIAQzYAQPoAQH4AQGIAgGYAgaoAgG4At6DmNQGwAIB0gIkZDY0NTEyMmUtMzM0MC00NDU5LTliOGEtZmI2OTU4ZmU1MDBh2AIB4AIB&amp;sid=b1a45ef40e74ae8fed93a4731b3eb671&amp;dist=0&amp;group_adults=2&amp;sb_price_type=total&amp;type=total&amp;</t>
  </si>
  <si>
    <t>Recavarren 181 803</t>
  </si>
  <si>
    <t>136646142</t>
  </si>
  <si>
    <t>Perricholi Central Apartments by Geko</t>
  </si>
  <si>
    <t>https://www.booking.com/hotel/pe/sunline-2br-by-geko.es.html?label=gen173bo-10CAsosQFCE3N1bmxpbmUtMmJyLWJ5LWdla29IM1gDaLEBiAEBmAEzuAEHyAEM2AED6AEB-AEBiAIBmAIGqAIBuALHg5jUBsACAdICJGQwZGU2MTliLWFmYmItNDMxOS05MTkyLTkzNzI4MzRjMzFhMtgCAeACAQ&amp;sid=b1a45ef40e74ae8fed93a4731b3eb671&amp;dist=0&amp;group_adults=2&amp;sb_price_type=total&amp;type=total&amp;</t>
  </si>
  <si>
    <t>Black 609</t>
  </si>
  <si>
    <t>609</t>
  </si>
  <si>
    <t>136646143</t>
  </si>
  <si>
    <t>Urban Juan Fanning 325 Apartments by Geko</t>
  </si>
  <si>
    <t>https://admin.booking.com/hotel/hoteladmin/extranet_ng/manage/start.html?hotel_account_id=24703232&amp;ses=a19ed4b95554f762f650e851deb2e5df&amp;hotel_id=14249520&amp;lang=es</t>
  </si>
  <si>
    <t>Fanning 325 403</t>
  </si>
  <si>
    <t>136646144</t>
  </si>
  <si>
    <t>Charming Barranco Apartments by Geko</t>
  </si>
  <si>
    <t>https://www.booking.com/hotel/pe/racoon-2br-by-geko-in-barranco-with-balcony.es.html?label=gen173bo-10CAsosQFCK3JhY29vbi0yYnItYnktZ2Vrby1pbi1iYXJyYW5jby13aXRoLWJhbGNvbnlIM1gDaLEBiAEBmAEzuAEHyAEM2AED6AEB-AEBiAIBmAIGqAIBuAKOg5jUBsACAdICJDQ1MjE1OGMyLTYzMjYtNDE5MS05MDQ0LTM2ZmM3YWY5YmQwM9gCAeACAQ&amp;sid=b1a45ef40e74ae8fed93a4731b3eb671&amp;dist=0&amp;sb_price_type=total&amp;type=total&amp;</t>
  </si>
  <si>
    <t>San Martin 512 103</t>
  </si>
  <si>
    <t>103</t>
  </si>
  <si>
    <t>136646149</t>
  </si>
  <si>
    <t>Elegant Los Angeles Apartments by Geko</t>
  </si>
  <si>
    <t>https://www.booking.com/hotel/pe/nuvee-2br-by-geko.es.html?label=gen173bo-10CAsosQFCEW51dmVlLTJici1ieS1nZWtvSDNYA2ixAYgBAZgBM7gBB8gBDNgBA-gBAfgBAYgCAZgCBqgCAbgC3oKY1AbAAgHSAiQzOWU3MThmMC1mM2U4LTRiZjgtYTdmOC1iYTdhZGE0OTA0ODHYAgHgAgE&amp;sid=b1a45ef40e74ae8fed93a4731b3eb671&amp;dist=0&amp;sb_price_type=total&amp;type=total&amp;</t>
  </si>
  <si>
    <t>The Edge 104</t>
  </si>
  <si>
    <t>136646151</t>
  </si>
  <si>
    <t>Executive Ocean Suite by Geko</t>
  </si>
  <si>
    <t>https://www.booking.com/hotel/pe/ocean-line-2br-by-geko.es.html?label=gen173bo-10CAsosQFCFm9jZWFuLWxpbmUtMmJyLWJ5LWdla29IM1gDaLEBiAEBmAEzuAEHyAEM2AED6AEB-AEBiAIBmAIGqAIBuAKbgpjUBsACAdICJDExOTExNWQ0LWNmYjQtNDFiZS05MDI1LTNlNTgyZjU5M2Y3ZNgCAeACAQ&amp;sid=b1a45ef40e74ae8fed93a4731b3eb671&amp;dist=0&amp;sb_price_type=total&amp;type=total&amp;</t>
  </si>
  <si>
    <t>Mykonos 501</t>
  </si>
  <si>
    <t>136646152</t>
  </si>
  <si>
    <t>San Isidro Petit Thouars Living by Geko</t>
  </si>
  <si>
    <t>https://www.booking.com/hotel/pe/elmora-2br-by-geko.es.html?label=gen173bo-10CAsosQFCEmVsbW9yYS0yYnItYnktZ2Vrb0gzWANosQGIAQGYATO4AQfIAQzYAQPoAQH4AQGIAgGYAgaoAgG4AoaCmNQGwAIB0gIkNTQwYmYwZGUtYTc4Mi00Yjc5LTk1OTMtYWZmY2Y3NTI2NWI22AIB4AIB&amp;sid=b1a45ef40e74ae8fed93a4731b3eb671&amp;dist=0&amp;sb_price_type=total&amp;type=total&amp;</t>
  </si>
  <si>
    <t>Petit 3980 601</t>
  </si>
  <si>
    <t>136646153</t>
  </si>
  <si>
    <t>Barranco Horizon Apartments by Geko</t>
  </si>
  <si>
    <t>https://www.booking.com/hotel/pe/monolith-1br-duplex-by-geko.es.html?label=gen173bo-10CAsosQFCG21vbm9saXRoLTFici1kdXBsZXgtYnktZ2Vrb0gzWANosQGIAQGYATO4AQfIAQzYAQPoAQH4AQGIAgGYAgaoAgG4AuaBmNQGwAIB0gIkZWM3N2MxZDQtMmEyZC00MjgxLWFjZjMtZThkMDM4YmQxZDhi2AIB4AIB&amp;sid=b1a45ef40e74ae8fed93a4731b3eb671&amp;dist=0&amp;sb_price_type=total&amp;type=total&amp;</t>
  </si>
  <si>
    <t>El Sol 299 201</t>
  </si>
  <si>
    <t>136646155</t>
  </si>
  <si>
    <t>Javier Prado Executive Apartments by Geko</t>
  </si>
  <si>
    <t>https://www.booking.com/hotel/pe/meridian-3br-by-geko.es.html?label=gen173bo-10CAsosQFCFG1lcmlkaWFuLTNici1ieS1nZWtvSDNYA2ixAYgBAZgBM7gBB8gBDNgBA-gBAfgBAYgCAZgCBqgCAbgCy4GY1AbAAgHSAiQ4NjY2MzcyYy01NDljLTQ0MzUtYWJhNS1hMzY0NDQ1Y2E2NTfYAgHgAgE&amp;sid=b1a45ef40e74ae8fed93a4731b3eb671&amp;dist=0&amp;sb_price_type=total&amp;type=total&amp;</t>
  </si>
  <si>
    <t>Javier P 1856 102</t>
  </si>
  <si>
    <t>102</t>
  </si>
  <si>
    <t>1 FullBed - 1 TwinBed</t>
  </si>
  <si>
    <t>136646157</t>
  </si>
  <si>
    <t>Miraflores Canseco Apartments by Geko</t>
  </si>
  <si>
    <t>https://www.booking.com/hotel/pe/brickell-2br-by-geko-miraflores.es.html?label=gen173bo-10CAsosQFCH2JyaWNrZWxsLTJici1ieS1nZWtvLW1pcmFmbG9yZXNIM1gDaLEBiAEBmAEzuAEHyAEM2AED6AEB-AEBiAIBmAIGqAIBuAK3gZjUBsACAdICJDUyMmIwOTc2LTFjZTUtNDAwMC1iZDRmLWUzYmYzODg0MmE5ZNgCAeACAQ&amp;sid=b1a45ef40e74ae8fed93a4731b3eb671&amp;dist=0&amp;sb_price_type=total&amp;type=total&amp;</t>
  </si>
  <si>
    <t>Treehouse 1003</t>
  </si>
  <si>
    <t>136646160</t>
  </si>
  <si>
    <t>Charming Dalias Apartments by Geko</t>
  </si>
  <si>
    <t>https://www.booking.com/hotel/pe/lumiere-1br-by-geko.es.html?label=gen173bo-10CAsosQFCE2x1bWllcmUtMWJyLWJ5LWdla29IM1gDaLEBiAEBmAEzuAEHyAEM2AED6AEB-AEBiAIBmAIGqAIBuALzgJjUBsACAdICJDJlMDlmMzNjLTE1Y2EtNDljNi1hN2Q1LTQxNGMzNGRlNTc0MNgCAeACAQ&amp;sid=b1a45ef40e74ae8fed93a4731b3eb671&amp;dist=0&amp;sb_price_type=total&amp;type=total&amp;</t>
  </si>
  <si>
    <t>Dalias 136 303</t>
  </si>
  <si>
    <t>303</t>
  </si>
  <si>
    <t>136646162</t>
  </si>
  <si>
    <t>Pacific Miraflores Apartments by Geko</t>
  </si>
  <si>
    <t>https://www.booking.com/hotel/pe/montclair-2br-by-geko.es.html?label=gen173bo-10CAsosQFCFW1vbnRjbGFpci0yYnItYnktZ2Vrb0gzWANosQGIAQGYATO4AQfIAQzYAQPoAQH4AQGIAgGYAgaoAgG4At-AmNQGwAIB0gIkNDRhZTdkMWUtNjUyNi00MmY1LWE4YzMtMjQ0OTgzZTQzZDM32AIB4AIB&amp;sid=b1a45ef40e74ae8fed93a4731b3eb671&amp;dist=0&amp;sb_price_type=total&amp;type=total&amp;</t>
  </si>
  <si>
    <t>Fanning 146 301</t>
  </si>
  <si>
    <t>136646166</t>
  </si>
  <si>
    <t>Solar Breezy Retreat by Geko</t>
  </si>
  <si>
    <t>https://www.booking.com/hotel/pe/ironwood-1br-by-geko.es.html?label=gen173bo-10CAsosQFCFGlyb253b29kLTFici1ieS1nZWtvSDNYA2ixAYgBAZgBM7gBB8gBDNgBA-gBAfgBAYgCAZgCBqgCAbgCgYCY1AbAAgHSAiRmMDY5NmY0YS00NWY0LTQ1NzctOGE2YS01ZjQwM2VlMGE4ZmXYAgHgAgE&amp;sid=b1a45ef40e74ae8fed93a4731b3eb671&amp;dist=0&amp;sb_price_type=total&amp;type=total&amp;</t>
  </si>
  <si>
    <t>Henko 205</t>
  </si>
  <si>
    <t>205</t>
  </si>
  <si>
    <t>136646168</t>
  </si>
  <si>
    <t>Barranco Signature Apartments by Geko</t>
  </si>
  <si>
    <t>https://www.booking.com/hotel/pe/botanica-by-geko.es.html?label=gen173bo-10CAsosQFCEGJvdGFuaWNhLWJ5LWdla29IM1gDaLEBiAEBmAEzuAEHyAEM2AED6AEB-AEBiAIBmAIGqAIBuALs_5fUBsACAdICJDZmZDAwNzQ5LWY2YmEtNDQ5ZC05YmExLTdiNWRkZTY0Yjk4ONgCAeACAQ&amp;sid=b1a45ef40e74ae8fed93a4731b3eb671&amp;dist=0&amp;sb_price_type=total&amp;type=total&amp;</t>
  </si>
  <si>
    <t>Connect 2003</t>
  </si>
  <si>
    <t>2003</t>
  </si>
  <si>
    <t>136646171</t>
  </si>
  <si>
    <t>Barranco Bright apartment with Balcony</t>
  </si>
  <si>
    <t>https://www.booking.com/hotel/pe/bright-3br-with-balcony-and-parking.es.html?label=gen173bo-10CAsosQFCI2JyaWdodC0zYnItd2l0aC1iYWxjb255LWFuZC1wYXJraW5nSDNYA2ixAYgBAZgBM7gBB8gBDNgBA-gBAfgBAYgCAZgCBqgCAbgCvP-X1AbAAgHSAiRkZjZmYzMyYy00YTJkLTQzNzItYTM4Yi0yZDdiMTZmNGVjOTfYAgHgAgE&amp;sid=b1a45ef40e74ae8fed93a4731b3eb671&amp;dist=0&amp;sb_price_type=total&amp;type=total&amp;</t>
  </si>
  <si>
    <t>Cenit 803</t>
  </si>
  <si>
    <t>136646173</t>
  </si>
  <si>
    <t>Geko | Contemporary 2BR w/Balcony near Costa Verde</t>
  </si>
  <si>
    <t>https://www.booking.com/hotel/pe/charming-2br-with-balcony-in-miraflores-by-geko.es.html?label=gen173bo-10CAsosQFCL2NoYXJtaW5nLTJici13aXRoLWJhbGNvbnktaW4tbWlyYWZsb3Jlcy1ieS1nZWtvSDNYA2ixAYgBAZgBM7gBB8gBDNgBA-gBAfgBAYgCAZgCBqgCAbgCp_-X1AbAAgHSAiRjZjA3OTlmOC02NzNhLTQ5ZDItOTAyNS1hODg1OTNjYTM4ODLYAgHgAgE&amp;sid=b1a45ef40e74ae8fed93a4731b3eb671&amp;dist=0&amp;sb_price_type=total&amp;type=total&amp;</t>
  </si>
  <si>
    <t>Portofino 311</t>
  </si>
  <si>
    <t>311</t>
  </si>
  <si>
    <t>Elias</t>
  </si>
  <si>
    <t>Comments</t>
  </si>
  <si>
    <t>Website not found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</si>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</sst>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entury Gothic"/>
      <family val="2"/>
    </font>
    <font>
      <b/>
      <sz val="11"/>
      <name val="Century Gothic"/>
      <family val="2"/>
    </font>
    <font>
      <sz val="11"/>
      <color rgb="FF000000"/>
      <name val="Century Gothic"/>
      <family val="2"/>
    </font>
    <font>
      <sz val="10"/>
      <color theme="1"/>
      <name val="Arial"/>
      <family val="2"/>
    </font>
    <font>
      <sz val="10"/>
      <color rgb="FF1F2937"/>
      <name val="Arial"/>
      <family val="2"/>
    </font>
    <font>
      <sz val="1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5" fillId="2" borderId="0" xfId="1" applyFont="1" applyFill="1"/>
    <xf numFmtId="0" fontId="5" fillId="0" borderId="1" xfId="1" applyFont="1" applyBorder="1"/>
    <xf numFmtId="0" fontId="5" fillId="0" borderId="0" xfId="1" applyFont="1"/>
    <xf numFmtId="49" fontId="5" fillId="0" borderId="0" xfId="1" applyNumberFormat="1" applyFont="1"/>
    <xf numFmtId="0" fontId="5" fillId="0" borderId="2" xfId="1" applyFont="1" applyBorder="1"/>
    <xf numFmtId="0" fontId="5" fillId="6" borderId="0" xfId="1" applyFont="1" applyFill="1"/>
    <xf numFmtId="0" fontId="5" fillId="3" borderId="0" xfId="1" applyFont="1" applyFill="1"/>
    <xf numFmtId="0" fontId="5" fillId="3" borderId="3" xfId="1" applyFont="1" applyFill="1" applyBorder="1" applyAlignment="1">
      <alignment wrapText="1"/>
    </xf>
    <xf numFmtId="0" fontId="2" fillId="2" borderId="3" xfId="1" applyFont="1" applyFill="1" applyBorder="1"/>
    <xf numFmtId="0" fontId="3" fillId="5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3" fillId="5" borderId="3" xfId="1" applyFont="1" applyFill="1" applyBorder="1" applyAlignment="1">
      <alignment vertical="center" wrapText="1"/>
    </xf>
    <xf numFmtId="0" fontId="5" fillId="3" borderId="3" xfId="1" applyFont="1" applyFill="1" applyBorder="1"/>
    <xf numFmtId="0" fontId="6" fillId="3" borderId="3" xfId="0" applyFont="1" applyFill="1" applyBorder="1"/>
    <xf numFmtId="0" fontId="7" fillId="3" borderId="3" xfId="0" applyFont="1" applyFill="1" applyBorder="1"/>
    <xf numFmtId="49" fontId="5" fillId="3" borderId="3" xfId="1" applyNumberFormat="1" applyFont="1" applyFill="1" applyBorder="1"/>
    <xf numFmtId="0" fontId="8" fillId="3" borderId="3" xfId="1" applyFont="1" applyFill="1" applyBorder="1" applyAlignment="1" applyProtection="1">
      <alignment vertical="center"/>
      <protection locked="0" hidden="1"/>
    </xf>
    <xf numFmtId="0" fontId="0" fillId="3" borderId="3" xfId="0" applyFill="1" applyBorder="1"/>
  </cellXfs>
  <cellStyles count="2">
    <cellStyle name="Normal" xfId="0" builtinId="0"/>
    <cellStyle name="Normal 2" xfId="1" xr:uid="{44340581-981A-460D-AB27-FEBA0C6B0B78}"/>
  </cellStyles>
  <dxfs count="38">
    <dxf>
      <font>
        <color theme="5"/>
      </font>
      <fill>
        <patternFill>
          <bgColor rgb="FFFF6600"/>
        </patternFill>
      </fill>
    </dxf>
    <dxf>
      <font>
        <color theme="5"/>
      </font>
      <fill>
        <patternFill>
          <bgColor rgb="FFFF6600"/>
        </patternFill>
      </fill>
    </dxf>
    <dxf>
      <font>
        <color theme="5"/>
      </font>
      <fill>
        <patternFill>
          <bgColor rgb="FFFF6600"/>
        </patternFill>
      </fill>
    </dxf>
    <dxf>
      <font>
        <color theme="5"/>
      </font>
      <fill>
        <patternFill>
          <bgColor rgb="FFFF6600"/>
        </patternFill>
      </fill>
    </dxf>
    <dxf>
      <font>
        <color theme="5"/>
      </font>
      <fill>
        <patternFill>
          <bgColor rgb="FFFF6600"/>
        </patternFill>
      </fill>
    </dxf>
    <dxf>
      <font>
        <color theme="5"/>
      </font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ill>
        <patternFill>
          <bgColor rgb="FFFF6600"/>
        </patternFill>
      </fill>
    </dxf>
    <dxf>
      <font>
        <color theme="2"/>
      </font>
      <fill>
        <patternFill>
          <bgColor theme="2"/>
        </patternFill>
      </fill>
      <border>
        <left/>
        <right/>
        <top/>
        <bottom/>
      </border>
    </dxf>
    <dxf>
      <font>
        <color rgb="FFC00000"/>
      </font>
      <fill>
        <patternFill>
          <bgColor theme="2"/>
        </patternFill>
      </fill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ont>
        <color theme="2"/>
      </font>
      <fill>
        <patternFill patternType="solid">
          <bgColor theme="2"/>
        </patternFill>
      </fill>
      <border>
        <left/>
        <right/>
        <top/>
        <bottom/>
        <vertical/>
        <horizontal/>
      </border>
    </dxf>
    <dxf>
      <fill>
        <patternFill patternType="solid">
          <fgColor rgb="FFC1F0C8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eshimada/Downloads/APM%20OB%20form%20updated%20VR_PM_GEKO_EXPEDIA-final-EIDs.xlsx" TargetMode="External"/><Relationship Id="rId1" Type="http://schemas.openxmlformats.org/officeDocument/2006/relationships/externalLinkPath" Target="file:///C:/Users/eshimada/Downloads/APM%20OB%20form%20updated%20VR_PM_GEKO_EXPEDIA-final-E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roperties_List_and_Content "/>
      <sheetName val="Unit_Mapping_Content"/>
      <sheetName val="Rate_Mapping"/>
      <sheetName val="Booking_Fees"/>
      <sheetName val="ExpediaPartnerCentral_UserAcess"/>
      <sheetName val="Content"/>
      <sheetName val="Sheet1"/>
    </sheetNames>
    <sheetDataSet>
      <sheetData sheetId="0"/>
      <sheetData sheetId="1">
        <row r="1">
          <cell r="B1" t="str">
            <v xml:space="preserve">Pick a friendly name for your property to be sold on Expedia Group sites.                            </v>
          </cell>
          <cell r="C1" t="str">
            <v xml:space="preserve">
Choose from the list if Expedia should build it as a single or multi unit</v>
          </cell>
        </row>
        <row r="2">
          <cell r="A2" t="str">
            <v>Expedia ID</v>
          </cell>
          <cell r="B2" t="str">
            <v>Property Name</v>
          </cell>
          <cell r="C2" t="str">
            <v>Type of Unit</v>
          </cell>
        </row>
        <row r="3">
          <cell r="B3" t="str">
            <v>Beachfront House at Captain's Bay</v>
          </cell>
          <cell r="C3" t="str">
            <v>Single Unit</v>
          </cell>
        </row>
        <row r="4">
          <cell r="A4" t="str">
            <v>136646063</v>
          </cell>
          <cell r="B4" t="str">
            <v>Sol Barranco Apartment by Geko</v>
          </cell>
          <cell r="C4" t="str">
            <v>single unit</v>
          </cell>
        </row>
        <row r="5">
          <cell r="A5" t="str">
            <v>136646065</v>
          </cell>
          <cell r="B5" t="str">
            <v>Chic Barranco Grau 1122 Apartments by Geko</v>
          </cell>
          <cell r="C5" t="str">
            <v>multi unit</v>
          </cell>
        </row>
        <row r="6">
          <cell r="A6" t="str">
            <v>136646067</v>
          </cell>
          <cell r="B6" t="str">
            <v>Executive Canaval y Moreyra 185 Residences by Geko</v>
          </cell>
          <cell r="C6" t="str">
            <v>multi unit</v>
          </cell>
        </row>
        <row r="7">
          <cell r="A7" t="str">
            <v>136646069</v>
          </cell>
          <cell r="B7" t="str">
            <v>Boutique Apartments with Rooftop Pool in Prime Miraflores</v>
          </cell>
          <cell r="C7" t="str">
            <v>multi unit</v>
          </cell>
        </row>
        <row r="8">
          <cell r="A8" t="str">
            <v>136646070</v>
          </cell>
          <cell r="B8" t="str">
            <v>Urban San Martín 340 Residences by Geko</v>
          </cell>
          <cell r="C8" t="str">
            <v>multi unit</v>
          </cell>
        </row>
        <row r="9">
          <cell r="A9" t="str">
            <v>136646071</v>
          </cell>
          <cell r="B9" t="str">
            <v>Barranco Living El Sol Oeste by Geko</v>
          </cell>
          <cell r="C9" t="str">
            <v>multi unit</v>
          </cell>
        </row>
        <row r="10">
          <cell r="A10" t="str">
            <v>136646073</v>
          </cell>
          <cell r="B10" t="str">
            <v>Bohemian Barranco Apartments by Geko</v>
          </cell>
          <cell r="C10" t="str">
            <v>single unit</v>
          </cell>
        </row>
        <row r="11">
          <cell r="A11" t="str">
            <v>136646074</v>
          </cell>
          <cell r="B11" t="str">
            <v>Barranco Breeze Loft Apartments by Geko</v>
          </cell>
          <cell r="C11" t="str">
            <v>multi unit</v>
          </cell>
        </row>
        <row r="12">
          <cell r="A12" t="str">
            <v>136646075</v>
          </cell>
          <cell r="B12" t="str">
            <v>Miraflores Pardo Suites by Geko</v>
          </cell>
          <cell r="C12" t="str">
            <v>single unit</v>
          </cell>
        </row>
        <row r="13">
          <cell r="A13" t="str">
            <v>136646076</v>
          </cell>
          <cell r="B13" t="str">
            <v>Miraflores City Diagonal Apartments by Geko</v>
          </cell>
          <cell r="C13" t="str">
            <v>single unit</v>
          </cell>
        </row>
        <row r="14">
          <cell r="A14" t="str">
            <v>136646078</v>
          </cell>
          <cell r="B14" t="str">
            <v>Miraflores Central Apartments by Geko</v>
          </cell>
          <cell r="C14" t="str">
            <v>single unit</v>
          </cell>
        </row>
        <row r="15">
          <cell r="A15" t="str">
            <v>136646080</v>
          </cell>
          <cell r="B15" t="str">
            <v>Alta Apartments by Geko</v>
          </cell>
          <cell r="C15" t="str">
            <v>multi unit</v>
          </cell>
        </row>
        <row r="16">
          <cell r="A16" t="str">
            <v>136646081</v>
          </cell>
          <cell r="B16" t="str">
            <v>Barranco Sailor Apartment by Geko</v>
          </cell>
          <cell r="C16" t="str">
            <v>single unit</v>
          </cell>
        </row>
        <row r="17">
          <cell r="A17" t="str">
            <v>136646082</v>
          </cell>
          <cell r="B17" t="str">
            <v>Elegant San Martín Barranco Apartment by Geko</v>
          </cell>
          <cell r="C17" t="str">
            <v>single unit</v>
          </cell>
        </row>
        <row r="18">
          <cell r="A18" t="str">
            <v>136646084</v>
          </cell>
          <cell r="B18" t="str">
            <v>Stylish Rivera Navarrete Apartments by Geko</v>
          </cell>
          <cell r="C18" t="str">
            <v>multi unit</v>
          </cell>
        </row>
        <row r="19">
          <cell r="A19" t="str">
            <v>136646085</v>
          </cell>
          <cell r="B19" t="str">
            <v>Grand Camino Real Residences by Geko</v>
          </cell>
          <cell r="C19" t="str">
            <v>single unit</v>
          </cell>
        </row>
        <row r="20">
          <cell r="A20" t="str">
            <v>136646086</v>
          </cell>
          <cell r="B20" t="str">
            <v>Contemporary Pardo Miraflores Apartment by Geko</v>
          </cell>
          <cell r="C20" t="str">
            <v>single unit</v>
          </cell>
        </row>
        <row r="21">
          <cell r="A21" t="str">
            <v>136646088</v>
          </cell>
          <cell r="B21" t="str">
            <v>Modern Dalias Miraflores Apartment by Geko</v>
          </cell>
          <cell r="C21" t="str">
            <v>single unit</v>
          </cell>
        </row>
        <row r="22">
          <cell r="A22" t="str">
            <v>136646090</v>
          </cell>
          <cell r="B22" t="str">
            <v>Stylish La Mar Miraflores Apartment by Geko</v>
          </cell>
          <cell r="C22" t="str">
            <v>single unit</v>
          </cell>
        </row>
        <row r="23">
          <cell r="A23" t="str">
            <v>136646091</v>
          </cell>
          <cell r="B23" t="str">
            <v>Midnight District Apartment by Geko</v>
          </cell>
          <cell r="C23" t="str">
            <v>multi unit</v>
          </cell>
        </row>
        <row r="24">
          <cell r="A24" t="str">
            <v>136646093</v>
          </cell>
          <cell r="B24" t="str">
            <v>Studio 4 Loft Bohemian Design in the Heart of Barranco</v>
          </cell>
          <cell r="C24" t="str">
            <v>multi unit</v>
          </cell>
        </row>
        <row r="25">
          <cell r="A25" t="str">
            <v>136646094</v>
          </cell>
          <cell r="B25" t="str">
            <v>Bohemian San Martín 380 Apartments by Geko</v>
          </cell>
          <cell r="C25" t="str">
            <v>multi unit</v>
          </cell>
        </row>
        <row r="26">
          <cell r="A26" t="str">
            <v>136646096</v>
          </cell>
          <cell r="B26" t="str">
            <v>Elegant Angamos Oeste Residence by Geko</v>
          </cell>
          <cell r="C26" t="str">
            <v>single unit</v>
          </cell>
        </row>
        <row r="27">
          <cell r="A27" t="str">
            <v>136646097</v>
          </cell>
          <cell r="B27" t="str">
            <v>José Gonzales 626 Apartments near Kennedy Park by Geko</v>
          </cell>
          <cell r="C27" t="str">
            <v>single unit</v>
          </cell>
        </row>
        <row r="28">
          <cell r="A28" t="str">
            <v>136646100</v>
          </cell>
          <cell r="B28" t="str">
            <v>Urban Schell Miraflores Apartment by Geko</v>
          </cell>
          <cell r="C28" t="str">
            <v>single unit</v>
          </cell>
        </row>
        <row r="29">
          <cell r="A29" t="str">
            <v>136646106</v>
          </cell>
          <cell r="B29" t="str">
            <v>Barranco San Martín Suites by Geko</v>
          </cell>
          <cell r="C29" t="str">
            <v>single unit</v>
          </cell>
        </row>
        <row r="30">
          <cell r="A30" t="str">
            <v>136646107</v>
          </cell>
          <cell r="B30" t="str">
            <v>Barranco Modern Apartments with Rooftop Pool by Geko</v>
          </cell>
          <cell r="C30" t="str">
            <v>multi unit</v>
          </cell>
        </row>
        <row r="31">
          <cell r="A31" t="str">
            <v>136646109</v>
          </cell>
          <cell r="B31" t="str">
            <v>Exclusive Mariano Santos 179 Residences by Geko</v>
          </cell>
          <cell r="C31" t="str">
            <v>multi unit</v>
          </cell>
        </row>
        <row r="32">
          <cell r="A32" t="str">
            <v>136646110</v>
          </cell>
          <cell r="B32" t="str">
            <v>Elegant Canseco Residence by Geko</v>
          </cell>
          <cell r="C32" t="str">
            <v>single unit</v>
          </cell>
        </row>
        <row r="33">
          <cell r="A33" t="str">
            <v>136646112</v>
          </cell>
          <cell r="B33" t="str">
            <v>Grimaldo del Solar Suites by Geko</v>
          </cell>
          <cell r="C33" t="str">
            <v>multi unit</v>
          </cell>
        </row>
        <row r="34">
          <cell r="A34" t="str">
            <v>136646113</v>
          </cell>
          <cell r="B34" t="str">
            <v>Fresh Los Pinos 561 Apartments by Geko</v>
          </cell>
          <cell r="C34" t="str">
            <v>multi unit</v>
          </cell>
        </row>
        <row r="35">
          <cell r="A35" t="str">
            <v>136646115</v>
          </cell>
          <cell r="B35" t="str">
            <v>Modern Berlin 644 Apartment by Geko</v>
          </cell>
          <cell r="C35" t="str">
            <v>multi unit</v>
          </cell>
        </row>
        <row r="36">
          <cell r="A36" t="str">
            <v>136646116</v>
          </cell>
          <cell r="B36" t="str">
            <v>Grand San Martín Residences by Geko</v>
          </cell>
          <cell r="C36" t="str">
            <v>single unit</v>
          </cell>
        </row>
        <row r="37">
          <cell r="A37" t="str">
            <v>136646117</v>
          </cell>
          <cell r="B37" t="str">
            <v>Stylish Diego Ferré 293 Apartments by Geko</v>
          </cell>
          <cell r="C37" t="str">
            <v>multi unit</v>
          </cell>
        </row>
        <row r="38">
          <cell r="A38" t="str">
            <v>136646118</v>
          </cell>
          <cell r="B38" t="str">
            <v>Javier Prado Oeste Apartments by Geko</v>
          </cell>
          <cell r="C38" t="str">
            <v>single unit</v>
          </cell>
        </row>
        <row r="39">
          <cell r="A39" t="str">
            <v>136646119</v>
          </cell>
          <cell r="B39" t="str">
            <v>Stylish Gálvez 370 Apartments by Geko</v>
          </cell>
          <cell r="C39" t="str">
            <v>single unit</v>
          </cell>
        </row>
        <row r="40">
          <cell r="A40" t="str">
            <v>136646122</v>
          </cell>
          <cell r="B40" t="str">
            <v>Audiencia 196 City Apartments by Geko</v>
          </cell>
          <cell r="C40" t="str">
            <v>multi unit</v>
          </cell>
        </row>
        <row r="41">
          <cell r="A41" t="str">
            <v>136646123</v>
          </cell>
          <cell r="B41" t="str">
            <v>Suárez Signature Apartment by Geko</v>
          </cell>
          <cell r="C41" t="str">
            <v>single unit</v>
          </cell>
        </row>
        <row r="42">
          <cell r="A42" t="str">
            <v>136646124</v>
          </cell>
          <cell r="B42" t="str">
            <v>Green Los Pinos 156 Residences by Geko</v>
          </cell>
          <cell r="C42" t="str">
            <v>single unit</v>
          </cell>
        </row>
        <row r="43">
          <cell r="A43" t="str">
            <v>136646125</v>
          </cell>
          <cell r="B43" t="str">
            <v>Coronel Portillo Residences by Geko</v>
          </cell>
          <cell r="C43" t="str">
            <v>single unit</v>
          </cell>
        </row>
        <row r="44">
          <cell r="A44" t="str">
            <v>136646126</v>
          </cell>
          <cell r="B44" t="str">
            <v>Chic Bolívar 221 Apartment by Geko</v>
          </cell>
          <cell r="C44" t="str">
            <v>single unit</v>
          </cell>
        </row>
        <row r="45">
          <cell r="A45" t="str">
            <v>136646127</v>
          </cell>
          <cell r="B45" t="str">
            <v>Urban San Martín Apartments by Geko</v>
          </cell>
          <cell r="C45" t="str">
            <v>single unit</v>
          </cell>
        </row>
        <row r="46">
          <cell r="A46" t="str">
            <v>136646130</v>
          </cell>
          <cell r="B46" t="str">
            <v>Grau 1430 Suites by Geko</v>
          </cell>
          <cell r="C46" t="str">
            <v>multi unit</v>
          </cell>
        </row>
        <row r="47">
          <cell r="A47" t="str">
            <v>136646131</v>
          </cell>
          <cell r="B47" t="str">
            <v>Elegant Bolognesi 501 Residences by Geko</v>
          </cell>
          <cell r="C47" t="str">
            <v>single unit</v>
          </cell>
        </row>
        <row r="48">
          <cell r="A48" t="str">
            <v>136646132</v>
          </cell>
          <cell r="B48" t="str">
            <v>Grand Javier Prado Residences by Geko</v>
          </cell>
          <cell r="C48" t="str">
            <v>single unit</v>
          </cell>
        </row>
        <row r="49">
          <cell r="A49" t="str">
            <v>136646133</v>
          </cell>
          <cell r="B49" t="str">
            <v>Miraflores Modern Apartments Benavides by Geko</v>
          </cell>
          <cell r="C49" t="str">
            <v>multi unit</v>
          </cell>
        </row>
        <row r="50">
          <cell r="A50" t="str">
            <v>136646135</v>
          </cell>
          <cell r="B50" t="str">
            <v>28 de Julio 815 Residences by Geko</v>
          </cell>
          <cell r="C50" t="str">
            <v>multi unit</v>
          </cell>
        </row>
        <row r="51">
          <cell r="A51" t="str">
            <v>136646136</v>
          </cell>
          <cell r="B51" t="str">
            <v>Plaza 27 Residences by Geko</v>
          </cell>
          <cell r="C51" t="str">
            <v>multi unit</v>
          </cell>
        </row>
        <row r="52">
          <cell r="A52" t="str">
            <v>136646137</v>
          </cell>
          <cell r="B52" t="str">
            <v>Stylish La Paz Apartment by Geko</v>
          </cell>
          <cell r="C52" t="str">
            <v>single unit</v>
          </cell>
        </row>
        <row r="53">
          <cell r="A53" t="str">
            <v>136646139</v>
          </cell>
          <cell r="B53" t="str">
            <v>Juan Norberto Eléspuru 535 Apartments by Geko</v>
          </cell>
          <cell r="C53" t="str">
            <v>multi unit</v>
          </cell>
        </row>
        <row r="54">
          <cell r="A54" t="str">
            <v>136646140</v>
          </cell>
          <cell r="B54" t="str">
            <v>Modern 2BR Apartment with Pool, Gym &amp; Coworking</v>
          </cell>
          <cell r="C54" t="str">
            <v>single unit</v>
          </cell>
        </row>
        <row r="55">
          <cell r="A55" t="str">
            <v>136646142</v>
          </cell>
          <cell r="B55" t="str">
            <v>Perricholi Central Apartments by Geko</v>
          </cell>
          <cell r="C55" t="str">
            <v>single unit</v>
          </cell>
        </row>
        <row r="56">
          <cell r="A56" t="str">
            <v>136646143</v>
          </cell>
          <cell r="B56" t="str">
            <v>Urban Juan Fanning 325 Apartments by Geko</v>
          </cell>
          <cell r="C56" t="str">
            <v>single unit</v>
          </cell>
        </row>
        <row r="57">
          <cell r="A57" t="str">
            <v>136646144</v>
          </cell>
          <cell r="B57" t="str">
            <v>Charming Barranco Apartments by Geko</v>
          </cell>
          <cell r="C57" t="str">
            <v>single unit</v>
          </cell>
        </row>
        <row r="58">
          <cell r="A58" t="str">
            <v>136646145</v>
          </cell>
          <cell r="B58" t="str">
            <v>Modern Benavides 707 Residences by Geko</v>
          </cell>
          <cell r="C58" t="str">
            <v>multi unit</v>
          </cell>
        </row>
        <row r="59">
          <cell r="A59" t="str">
            <v>136646148</v>
          </cell>
          <cell r="B59" t="str">
            <v>Ejército City Lofts &amp; Apartments by Geko</v>
          </cell>
          <cell r="C59" t="str">
            <v>multi unit</v>
          </cell>
        </row>
        <row r="60">
          <cell r="A60" t="str">
            <v>136646149</v>
          </cell>
          <cell r="B60" t="str">
            <v>Elegant Los Angeles Apartments by Geko</v>
          </cell>
          <cell r="C60" t="str">
            <v>single unit</v>
          </cell>
        </row>
        <row r="61">
          <cell r="A61" t="str">
            <v>136646150</v>
          </cell>
          <cell r="B61" t="str">
            <v>Magdalena Style Suites &amp; Apartments</v>
          </cell>
          <cell r="C61" t="str">
            <v>multi unit</v>
          </cell>
        </row>
        <row r="62">
          <cell r="A62" t="str">
            <v>136646151</v>
          </cell>
          <cell r="B62" t="str">
            <v>Executive Ocean Suite by Geko</v>
          </cell>
          <cell r="C62" t="str">
            <v>single unit</v>
          </cell>
        </row>
        <row r="63">
          <cell r="A63" t="str">
            <v>136646152</v>
          </cell>
          <cell r="B63" t="str">
            <v>San Isidro Petit Thouars Living by Geko</v>
          </cell>
          <cell r="C63" t="str">
            <v>single unit</v>
          </cell>
        </row>
        <row r="64">
          <cell r="A64" t="str">
            <v>136646153</v>
          </cell>
          <cell r="B64" t="str">
            <v>Barranco Horizon Apartments by Geko</v>
          </cell>
          <cell r="C64" t="str">
            <v>single unit</v>
          </cell>
        </row>
        <row r="65">
          <cell r="A65" t="str">
            <v>136646155</v>
          </cell>
          <cell r="B65" t="str">
            <v>Javier Prado Executive Apartments by Geko</v>
          </cell>
          <cell r="C65" t="str">
            <v>single unit</v>
          </cell>
        </row>
        <row r="66">
          <cell r="A66" t="str">
            <v>136646157</v>
          </cell>
          <cell r="B66" t="str">
            <v>Miraflores Canseco Apartments by Geko</v>
          </cell>
          <cell r="C66" t="str">
            <v>single unit</v>
          </cell>
        </row>
        <row r="67">
          <cell r="A67" t="str">
            <v>136646158</v>
          </cell>
          <cell r="B67" t="str">
            <v>Vasco Núñez Residence by Geko</v>
          </cell>
          <cell r="C67" t="str">
            <v>multi unit</v>
          </cell>
        </row>
        <row r="68">
          <cell r="A68" t="str">
            <v>136646159</v>
          </cell>
          <cell r="B68" t="str">
            <v>La Mar Suites by Geko in Miraflores</v>
          </cell>
          <cell r="C68" t="str">
            <v>multi unit</v>
          </cell>
        </row>
        <row r="69">
          <cell r="A69" t="str">
            <v>136646160</v>
          </cell>
          <cell r="B69" t="str">
            <v>Charming Dalias Apartments by Geko</v>
          </cell>
          <cell r="C69" t="str">
            <v>single unit</v>
          </cell>
        </row>
        <row r="70">
          <cell r="A70" t="str">
            <v>136646162</v>
          </cell>
          <cell r="B70" t="str">
            <v>Pacific Miraflores Apartments by Geko</v>
          </cell>
          <cell r="C70" t="str">
            <v>single unit</v>
          </cell>
        </row>
        <row r="71">
          <cell r="A71" t="str">
            <v>136646163</v>
          </cell>
          <cell r="B71" t="str">
            <v>Barranco El Sol Oeste 457 Apartments by Geko</v>
          </cell>
          <cell r="C71" t="str">
            <v>multi unit</v>
          </cell>
        </row>
        <row r="72">
          <cell r="A72" t="str">
            <v>136646164</v>
          </cell>
          <cell r="B72" t="str">
            <v>Arrieta 380 Suites by Geko</v>
          </cell>
          <cell r="C72" t="str">
            <v>multi unit</v>
          </cell>
        </row>
        <row r="73">
          <cell r="A73" t="str">
            <v>136646166</v>
          </cell>
          <cell r="B73" t="str">
            <v>Solar Breezy Retreat by Geko</v>
          </cell>
          <cell r="C73" t="str">
            <v>single unit</v>
          </cell>
        </row>
        <row r="74">
          <cell r="A74" t="str">
            <v>136646168</v>
          </cell>
          <cell r="B74" t="str">
            <v>Barranco Signature Apartments by Geko</v>
          </cell>
          <cell r="C74" t="str">
            <v>single unit</v>
          </cell>
        </row>
        <row r="75">
          <cell r="A75" t="str">
            <v>136646169</v>
          </cell>
          <cell r="B75" t="str">
            <v>Larco 791 Luxury Stays by Geko</v>
          </cell>
          <cell r="C75" t="str">
            <v>multi unit</v>
          </cell>
        </row>
        <row r="76">
          <cell r="A76" t="str">
            <v>136646170</v>
          </cell>
          <cell r="B76" t="str">
            <v>Arrieta 271 Collection by Geko</v>
          </cell>
          <cell r="C76" t="str">
            <v>multi unit</v>
          </cell>
        </row>
        <row r="77">
          <cell r="A77" t="str">
            <v>136646171</v>
          </cell>
          <cell r="B77" t="str">
            <v>Barranco Bright apartment with Balcony</v>
          </cell>
          <cell r="C77" t="str">
            <v>single unit</v>
          </cell>
        </row>
        <row r="78">
          <cell r="A78" t="str">
            <v>136646173</v>
          </cell>
          <cell r="B78" t="str">
            <v>Geko | Contemporary 2BR w/Balcony near Costa Verde</v>
          </cell>
          <cell r="C78" t="str">
            <v>single unit</v>
          </cell>
        </row>
        <row r="79">
          <cell r="A79" t="str">
            <v>136646175</v>
          </cell>
          <cell r="B79" t="str">
            <v>Miraflores Intimate Apartment by Geko</v>
          </cell>
          <cell r="C79" t="str">
            <v>multi unit</v>
          </cell>
        </row>
        <row r="80">
          <cell r="A80" t="str">
            <v>136646176</v>
          </cell>
          <cell r="B80" t="str">
            <v>Executive San Isidro Residence by Geko</v>
          </cell>
          <cell r="C80" t="str">
            <v>single unit</v>
          </cell>
        </row>
        <row r="81">
          <cell r="A81" t="str">
            <v>136646178</v>
          </cell>
          <cell r="B81" t="str">
            <v>Andrés Reyes 509 Business Residences by Geko</v>
          </cell>
          <cell r="C81" t="str">
            <v>multi unit</v>
          </cell>
        </row>
        <row r="82">
          <cell r="A82" t="str">
            <v>136646179</v>
          </cell>
          <cell r="B82" t="str">
            <v>Modern Acacias Spacious 2BR with Balcony, Steps from Larcomar</v>
          </cell>
          <cell r="C82" t="str">
            <v>single unit</v>
          </cell>
        </row>
        <row r="83">
          <cell r="A83" t="str">
            <v>136646182</v>
          </cell>
          <cell r="B83" t="str">
            <v>Amador Merino Reyna 346 Residences by Geko</v>
          </cell>
          <cell r="C83" t="str">
            <v>multi unit</v>
          </cell>
        </row>
        <row r="84">
          <cell r="A84" t="str">
            <v>136646184</v>
          </cell>
          <cell r="B84" t="str">
            <v>Miraflores Oceanfront Luxury Apartment by Geko</v>
          </cell>
          <cell r="C84" t="str">
            <v>single unit</v>
          </cell>
        </row>
        <row r="85">
          <cell r="A85" t="str">
            <v>136646185</v>
          </cell>
          <cell r="B85" t="str">
            <v>Pardo 510 Suites by Geko</v>
          </cell>
          <cell r="C85" t="str">
            <v>single unit</v>
          </cell>
        </row>
        <row r="86">
          <cell r="A86" t="str">
            <v>136646186</v>
          </cell>
          <cell r="B86" t="str">
            <v>Barranco Pedro Martinto 184 Apartments by Geko</v>
          </cell>
          <cell r="C86" t="str">
            <v>single unit</v>
          </cell>
        </row>
        <row r="87">
          <cell r="A87" t="str">
            <v>136646187</v>
          </cell>
          <cell r="B87" t="str">
            <v>San Martín 207 Barranco Residences by Geko</v>
          </cell>
          <cell r="C87" t="str">
            <v>single unit</v>
          </cell>
        </row>
        <row r="88">
          <cell r="A88" t="str">
            <v>136646189</v>
          </cell>
          <cell r="B88" t="str">
            <v>Urban 28 de Julio 551 Stay by Geko</v>
          </cell>
          <cell r="C88" t="str">
            <v>multi unit</v>
          </cell>
        </row>
        <row r="89">
          <cell r="A89" t="str">
            <v>136646190</v>
          </cell>
          <cell r="B89" t="str">
            <v>Stylish Inclán 343 Apartment by Geko</v>
          </cell>
          <cell r="C89" t="str">
            <v>single unit</v>
          </cell>
        </row>
        <row r="90">
          <cell r="A90" t="str">
            <v>136646192</v>
          </cell>
          <cell r="B90" t="str">
            <v>Modern 2-Bedroom Apartment in San Isidro Financial District near El Olivar Park</v>
          </cell>
          <cell r="C90" t="str">
            <v>single unit</v>
          </cell>
        </row>
        <row r="91">
          <cell r="A91" t="str">
            <v>136646193</v>
          </cell>
          <cell r="B91" t="str">
            <v>Arequipa 4405 Signature Residences by Geko</v>
          </cell>
          <cell r="C91" t="str">
            <v>single unit</v>
          </cell>
        </row>
        <row r="92">
          <cell r="A92" t="str">
            <v>136646194</v>
          </cell>
          <cell r="B92" t="str">
            <v>Miraflores Spacious 3BR Near Larcomar by Geko</v>
          </cell>
          <cell r="C92" t="str">
            <v>multi unit</v>
          </cell>
        </row>
        <row r="93">
          <cell r="A93" t="str">
            <v>136646196</v>
          </cell>
          <cell r="B93" t="str">
            <v>The Modern Sun-Filled Oceanfront Apt in Barranco</v>
          </cell>
          <cell r="C93" t="str">
            <v>multi unit</v>
          </cell>
        </row>
        <row r="94">
          <cell r="A94" t="str">
            <v>136646197</v>
          </cell>
          <cell r="B94" t="str">
            <v>Smart Loft in Miraflores by Geko 8 min Walk to Larcomar</v>
          </cell>
          <cell r="C94" t="str">
            <v>single unit</v>
          </cell>
        </row>
        <row r="95">
          <cell r="A95" t="str">
            <v>136646198</v>
          </cell>
          <cell r="B95" t="str">
            <v>Andrés Aramburú 668 Signature Residences by Geko</v>
          </cell>
          <cell r="C95" t="str">
            <v>multi unit</v>
          </cell>
        </row>
        <row r="96">
          <cell r="A96" t="str">
            <v>136646200</v>
          </cell>
          <cell r="B96" t="str">
            <v>Javier Prado 595 Residences by Geko</v>
          </cell>
          <cell r="C96" t="str">
            <v>multi unit</v>
          </cell>
        </row>
        <row r="97">
          <cell r="A97" t="str">
            <v>136646203</v>
          </cell>
          <cell r="B97" t="str">
            <v>Aliaga Suites with Rooftop Pool in Magdalena</v>
          </cell>
          <cell r="C97" t="str">
            <v>single unit</v>
          </cell>
        </row>
        <row r="98">
          <cell r="A98" t="str">
            <v>136646204</v>
          </cell>
          <cell r="B98" t="str">
            <v>San Isidro Executive Suites with Parking by Geko</v>
          </cell>
          <cell r="C98" t="str">
            <v>single unit</v>
          </cell>
        </row>
        <row r="99">
          <cell r="A99" t="str">
            <v>136646206</v>
          </cell>
          <cell r="B99" t="str">
            <v>Work and Living Suites in Miraflores by Geko</v>
          </cell>
          <cell r="C99" t="str">
            <v>single unit</v>
          </cell>
        </row>
        <row r="100">
          <cell r="A100" t="str">
            <v>136646208</v>
          </cell>
          <cell r="B100" t="str">
            <v>Magdalena Lifestyle Residences by Geko</v>
          </cell>
          <cell r="C100" t="str">
            <v>single unit</v>
          </cell>
        </row>
        <row r="101">
          <cell r="A101" t="str">
            <v>136646209</v>
          </cell>
          <cell r="B101" t="str">
            <v>José Toribio Polo Residences by Geko</v>
          </cell>
          <cell r="C101" t="str">
            <v>single unit</v>
          </cell>
        </row>
        <row r="102">
          <cell r="A102" t="str">
            <v>136646210</v>
          </cell>
          <cell r="B102" t="str">
            <v>Designer 2BR Perfect View near Costa Verde by Geko</v>
          </cell>
          <cell r="C102" t="str">
            <v>single unit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674B-8387-439E-B317-4C732276A076}">
  <dimension ref="A1:X44"/>
  <sheetViews>
    <sheetView tabSelected="1" zoomScale="144" workbookViewId="0">
      <selection activeCell="E6" sqref="E6"/>
    </sheetView>
  </sheetViews>
  <sheetFormatPr baseColWidth="10" defaultColWidth="255.6640625" defaultRowHeight="14" x14ac:dyDescent="0.15"/>
  <cols>
    <col min="1" max="1" width="12.5" style="6" customWidth="1"/>
    <col min="2" max="2" width="17.83203125" style="4" bestFit="1" customWidth="1"/>
    <col min="3" max="3" width="11" style="2" bestFit="1" customWidth="1"/>
    <col min="4" max="4" width="10.5" style="2" bestFit="1" customWidth="1"/>
    <col min="5" max="5" width="34.33203125" style="3" customWidth="1"/>
    <col min="6" max="6" width="20.33203125" style="4" bestFit="1" customWidth="1"/>
    <col min="7" max="7" width="133.5" style="4" customWidth="1"/>
    <col min="8" max="8" width="69" style="4" bestFit="1" customWidth="1"/>
    <col min="9" max="9" width="22.1640625" style="5" bestFit="1" customWidth="1"/>
    <col min="10" max="10" width="26" style="4" bestFit="1" customWidth="1"/>
    <col min="11" max="11" width="15.1640625" style="4" bestFit="1" customWidth="1"/>
    <col min="12" max="12" width="11.5" style="4" bestFit="1" customWidth="1"/>
    <col min="13" max="13" width="17.83203125" style="4" bestFit="1" customWidth="1"/>
    <col min="14" max="14" width="40.83203125" style="4" bestFit="1" customWidth="1"/>
    <col min="15" max="22" width="26" style="4" bestFit="1" customWidth="1"/>
    <col min="23" max="23" width="26" style="6" bestFit="1" customWidth="1"/>
    <col min="24" max="24" width="26" style="4" bestFit="1" customWidth="1"/>
    <col min="25" max="16384" width="255.6640625" style="4"/>
  </cols>
  <sheetData>
    <row r="1" spans="1:24" s="1" customFormat="1" ht="30" x14ac:dyDescent="0.2">
      <c r="A1" s="9"/>
      <c r="B1" s="9" t="s">
        <v>232</v>
      </c>
      <c r="C1" s="10" t="s">
        <v>0</v>
      </c>
      <c r="D1" s="10" t="s">
        <v>1</v>
      </c>
      <c r="E1" s="11" t="s">
        <v>2</v>
      </c>
      <c r="F1" s="11" t="s">
        <v>3</v>
      </c>
      <c r="G1" s="12" t="s">
        <v>4</v>
      </c>
      <c r="H1" s="13" t="s">
        <v>5</v>
      </c>
      <c r="I1" s="13" t="s">
        <v>6</v>
      </c>
      <c r="J1" s="13" t="s">
        <v>7</v>
      </c>
      <c r="K1" s="13" t="s">
        <v>8</v>
      </c>
      <c r="L1" s="13" t="s">
        <v>9</v>
      </c>
      <c r="M1" s="11" t="s">
        <v>10</v>
      </c>
      <c r="N1" s="14" t="s">
        <v>11</v>
      </c>
      <c r="O1" s="14" t="s">
        <v>12</v>
      </c>
      <c r="P1" s="14" t="s">
        <v>12</v>
      </c>
      <c r="Q1" s="14" t="s">
        <v>12</v>
      </c>
      <c r="R1" s="14" t="s">
        <v>12</v>
      </c>
      <c r="S1" s="14" t="s">
        <v>12</v>
      </c>
      <c r="T1" s="14" t="s">
        <v>12</v>
      </c>
      <c r="U1" s="14" t="s">
        <v>12</v>
      </c>
      <c r="V1" s="14" t="s">
        <v>12</v>
      </c>
      <c r="W1" s="14" t="s">
        <v>12</v>
      </c>
      <c r="X1" s="14" t="s">
        <v>12</v>
      </c>
    </row>
    <row r="2" spans="1:24" s="8" customFormat="1" ht="75" x14ac:dyDescent="0.15">
      <c r="A2" s="15" t="s">
        <v>231</v>
      </c>
      <c r="B2" s="15" t="s">
        <v>233</v>
      </c>
      <c r="C2" s="15" t="s">
        <v>13</v>
      </c>
      <c r="D2" s="15" t="str">
        <f>VLOOKUP(C2,'[1]Properties_List_and_Content '!A:C,3,0)</f>
        <v>single unit</v>
      </c>
      <c r="E2" s="15" t="s">
        <v>14</v>
      </c>
      <c r="F2" s="16" t="s">
        <v>15</v>
      </c>
      <c r="G2" s="9" t="s">
        <v>16</v>
      </c>
      <c r="H2" s="17" t="s">
        <v>17</v>
      </c>
      <c r="I2" s="15" t="s">
        <v>18</v>
      </c>
      <c r="J2" s="18" t="s">
        <v>19</v>
      </c>
      <c r="K2" s="15">
        <v>2</v>
      </c>
      <c r="L2" s="15">
        <v>2</v>
      </c>
      <c r="M2" s="15">
        <v>4</v>
      </c>
      <c r="N2" s="19" t="s">
        <v>20</v>
      </c>
      <c r="O2" s="15" t="s">
        <v>21</v>
      </c>
      <c r="P2" s="15" t="s">
        <v>22</v>
      </c>
      <c r="Q2" s="15"/>
      <c r="R2" s="15"/>
      <c r="S2" s="15"/>
      <c r="T2" s="15"/>
      <c r="U2" s="15"/>
      <c r="V2" s="15"/>
      <c r="W2" s="15"/>
      <c r="X2" s="15"/>
    </row>
    <row r="3" spans="1:24" s="7" customFormat="1" ht="61" x14ac:dyDescent="0.2">
      <c r="A3" s="15" t="s">
        <v>231</v>
      </c>
      <c r="B3" s="15" t="s">
        <v>234</v>
      </c>
      <c r="C3" s="15" t="s">
        <v>31</v>
      </c>
      <c r="D3" s="15" t="str">
        <f>VLOOKUP(C3,'[1]Properties_List_and_Content '!A:C,3,0)</f>
        <v>single unit</v>
      </c>
      <c r="E3" s="15" t="s">
        <v>32</v>
      </c>
      <c r="F3" s="16" t="s">
        <v>23</v>
      </c>
      <c r="G3" s="9" t="s">
        <v>33</v>
      </c>
      <c r="H3" s="17" t="s">
        <v>34</v>
      </c>
      <c r="I3" s="15" t="s">
        <v>18</v>
      </c>
      <c r="J3" s="20" t="s">
        <v>35</v>
      </c>
      <c r="K3" s="15">
        <v>1</v>
      </c>
      <c r="L3" s="15">
        <v>1</v>
      </c>
      <c r="M3" s="19">
        <v>2</v>
      </c>
      <c r="N3" s="15" t="s">
        <v>20</v>
      </c>
      <c r="O3" s="15" t="s">
        <v>21</v>
      </c>
      <c r="P3" s="15"/>
      <c r="Q3" s="15"/>
      <c r="R3" s="15"/>
      <c r="S3" s="15"/>
      <c r="T3" s="15"/>
      <c r="U3" s="15"/>
      <c r="V3" s="15"/>
      <c r="W3" s="15"/>
      <c r="X3" s="15"/>
    </row>
    <row r="4" spans="1:24" s="7" customFormat="1" ht="61" x14ac:dyDescent="0.2">
      <c r="A4" s="15" t="s">
        <v>231</v>
      </c>
      <c r="B4" s="15" t="s">
        <v>234</v>
      </c>
      <c r="C4" s="15" t="s">
        <v>37</v>
      </c>
      <c r="D4" s="15" t="str">
        <f>VLOOKUP(C4,'[1]Properties_List_and_Content '!A:C,3,0)</f>
        <v>single unit</v>
      </c>
      <c r="E4" s="15" t="s">
        <v>38</v>
      </c>
      <c r="F4" s="16" t="s">
        <v>15</v>
      </c>
      <c r="G4" s="9" t="s">
        <v>39</v>
      </c>
      <c r="H4" s="17" t="s">
        <v>40</v>
      </c>
      <c r="I4" s="15" t="s">
        <v>18</v>
      </c>
      <c r="J4" s="20" t="s">
        <v>41</v>
      </c>
      <c r="K4" s="15">
        <v>2</v>
      </c>
      <c r="L4" s="15">
        <v>2</v>
      </c>
      <c r="M4" s="19">
        <v>4</v>
      </c>
      <c r="N4" s="15" t="s">
        <v>20</v>
      </c>
      <c r="O4" s="15" t="s">
        <v>42</v>
      </c>
      <c r="P4" s="15" t="s">
        <v>43</v>
      </c>
      <c r="Q4" s="15"/>
      <c r="R4" s="15"/>
      <c r="S4" s="15"/>
      <c r="T4" s="15"/>
      <c r="U4" s="15"/>
      <c r="V4" s="15"/>
      <c r="W4" s="15"/>
      <c r="X4" s="15"/>
    </row>
    <row r="5" spans="1:24" s="7" customFormat="1" ht="61" x14ac:dyDescent="0.2">
      <c r="A5" s="15" t="s">
        <v>231</v>
      </c>
      <c r="B5" s="15" t="s">
        <v>234</v>
      </c>
      <c r="C5" s="15" t="s">
        <v>44</v>
      </c>
      <c r="D5" s="15" t="str">
        <f>VLOOKUP(C5,'[1]Properties_List_and_Content '!A:C,3,0)</f>
        <v>single unit</v>
      </c>
      <c r="E5" s="15" t="s">
        <v>45</v>
      </c>
      <c r="F5" s="16" t="s">
        <v>15</v>
      </c>
      <c r="G5" s="9" t="s">
        <v>46</v>
      </c>
      <c r="H5" s="16" t="s">
        <v>47</v>
      </c>
      <c r="I5" s="15" t="s">
        <v>18</v>
      </c>
      <c r="J5" s="20" t="s">
        <v>48</v>
      </c>
      <c r="K5" s="15">
        <v>2</v>
      </c>
      <c r="L5" s="15">
        <v>2</v>
      </c>
      <c r="M5" s="19">
        <v>3</v>
      </c>
      <c r="N5" s="15" t="s">
        <v>20</v>
      </c>
      <c r="O5" s="15" t="s">
        <v>21</v>
      </c>
      <c r="P5" s="15" t="s">
        <v>22</v>
      </c>
      <c r="Q5" s="15"/>
      <c r="R5" s="15"/>
      <c r="S5" s="15"/>
      <c r="T5" s="15"/>
      <c r="U5" s="15"/>
      <c r="V5" s="15"/>
      <c r="W5" s="15"/>
      <c r="X5" s="15"/>
    </row>
    <row r="6" spans="1:24" s="7" customFormat="1" ht="76" x14ac:dyDescent="0.2">
      <c r="A6" s="15" t="s">
        <v>231</v>
      </c>
      <c r="B6" s="15" t="s">
        <v>233</v>
      </c>
      <c r="C6" s="15" t="s">
        <v>50</v>
      </c>
      <c r="D6" s="15" t="str">
        <f>VLOOKUP(C6,'[1]Properties_List_and_Content '!A:C,3,0)</f>
        <v>single unit</v>
      </c>
      <c r="E6" s="15" t="s">
        <v>51</v>
      </c>
      <c r="F6" s="16" t="s">
        <v>30</v>
      </c>
      <c r="G6" s="9" t="s">
        <v>52</v>
      </c>
      <c r="H6" s="17" t="s">
        <v>53</v>
      </c>
      <c r="I6" s="15" t="s">
        <v>18</v>
      </c>
      <c r="J6" s="20" t="s">
        <v>54</v>
      </c>
      <c r="K6" s="15">
        <v>2</v>
      </c>
      <c r="L6" s="15">
        <v>3</v>
      </c>
      <c r="M6" s="19">
        <v>6</v>
      </c>
      <c r="N6" s="15" t="s">
        <v>20</v>
      </c>
      <c r="O6" s="15" t="s">
        <v>42</v>
      </c>
      <c r="P6" s="15" t="s">
        <v>29</v>
      </c>
      <c r="Q6" s="15" t="s">
        <v>22</v>
      </c>
      <c r="R6" s="15"/>
      <c r="S6" s="15"/>
      <c r="T6" s="15"/>
      <c r="U6" s="15"/>
      <c r="V6" s="15"/>
      <c r="W6" s="15"/>
      <c r="X6" s="15"/>
    </row>
    <row r="7" spans="1:24" s="7" customFormat="1" ht="61" x14ac:dyDescent="0.2">
      <c r="A7" s="15" t="s">
        <v>231</v>
      </c>
      <c r="B7" s="15" t="s">
        <v>234</v>
      </c>
      <c r="C7" s="15" t="s">
        <v>55</v>
      </c>
      <c r="D7" s="15" t="str">
        <f>VLOOKUP(C7,'[1]Properties_List_and_Content '!A:C,3,0)</f>
        <v>single unit</v>
      </c>
      <c r="E7" s="15" t="s">
        <v>56</v>
      </c>
      <c r="F7" s="16" t="s">
        <v>15</v>
      </c>
      <c r="G7" s="9" t="s">
        <v>57</v>
      </c>
      <c r="H7" s="17" t="s">
        <v>58</v>
      </c>
      <c r="I7" s="15" t="s">
        <v>18</v>
      </c>
      <c r="J7" s="20" t="s">
        <v>59</v>
      </c>
      <c r="K7" s="15">
        <v>2</v>
      </c>
      <c r="L7" s="15">
        <v>2</v>
      </c>
      <c r="M7" s="19">
        <v>4</v>
      </c>
      <c r="N7" s="15" t="s">
        <v>20</v>
      </c>
      <c r="O7" s="15" t="s">
        <v>21</v>
      </c>
      <c r="P7" s="15" t="s">
        <v>42</v>
      </c>
      <c r="Q7" s="15"/>
      <c r="R7" s="15"/>
      <c r="S7" s="15"/>
      <c r="T7" s="15"/>
      <c r="U7" s="15"/>
      <c r="V7" s="15"/>
      <c r="W7" s="15"/>
      <c r="X7" s="15"/>
    </row>
    <row r="8" spans="1:24" s="8" customFormat="1" ht="61" x14ac:dyDescent="0.2">
      <c r="A8" s="15" t="s">
        <v>231</v>
      </c>
      <c r="B8" s="15" t="s">
        <v>234</v>
      </c>
      <c r="C8" s="15" t="s">
        <v>60</v>
      </c>
      <c r="D8" s="15" t="str">
        <f>VLOOKUP(C8,'[1]Properties_List_and_Content '!A:C,3,0)</f>
        <v>single unit</v>
      </c>
      <c r="E8" s="15" t="s">
        <v>61</v>
      </c>
      <c r="F8" s="16" t="s">
        <v>15</v>
      </c>
      <c r="G8" s="9" t="s">
        <v>62</v>
      </c>
      <c r="H8" s="17" t="s">
        <v>63</v>
      </c>
      <c r="I8" s="15" t="s">
        <v>18</v>
      </c>
      <c r="J8" s="20" t="s">
        <v>64</v>
      </c>
      <c r="K8" s="15">
        <v>1</v>
      </c>
      <c r="L8" s="15">
        <v>2</v>
      </c>
      <c r="M8" s="19">
        <v>3</v>
      </c>
      <c r="N8" s="15" t="s">
        <v>20</v>
      </c>
      <c r="O8" s="15" t="s">
        <v>21</v>
      </c>
      <c r="P8" s="15" t="s">
        <v>22</v>
      </c>
      <c r="Q8" s="15"/>
      <c r="R8" s="15"/>
      <c r="S8" s="15"/>
      <c r="T8" s="15"/>
      <c r="U8" s="15"/>
      <c r="V8" s="15"/>
      <c r="W8" s="15"/>
      <c r="X8" s="15"/>
    </row>
    <row r="9" spans="1:24" s="7" customFormat="1" ht="61" x14ac:dyDescent="0.2">
      <c r="A9" s="15" t="s">
        <v>231</v>
      </c>
      <c r="B9" s="15" t="s">
        <v>234</v>
      </c>
      <c r="C9" s="15" t="s">
        <v>66</v>
      </c>
      <c r="D9" s="15" t="str">
        <f>VLOOKUP(C9,'[1]Properties_List_and_Content '!A:C,3,0)</f>
        <v>single unit</v>
      </c>
      <c r="E9" s="15" t="s">
        <v>67</v>
      </c>
      <c r="F9" s="16" t="s">
        <v>26</v>
      </c>
      <c r="G9" s="9" t="s">
        <v>68</v>
      </c>
      <c r="H9" s="17" t="s">
        <v>69</v>
      </c>
      <c r="I9" s="15" t="s">
        <v>18</v>
      </c>
      <c r="J9" s="20" t="s">
        <v>70</v>
      </c>
      <c r="K9" s="15">
        <v>1</v>
      </c>
      <c r="L9" s="15">
        <v>1</v>
      </c>
      <c r="M9" s="19">
        <v>2</v>
      </c>
      <c r="N9" s="15" t="s">
        <v>20</v>
      </c>
      <c r="O9" s="15" t="s">
        <v>21</v>
      </c>
      <c r="P9" s="15"/>
      <c r="Q9" s="15"/>
      <c r="R9" s="15"/>
      <c r="S9" s="15"/>
      <c r="T9" s="15"/>
      <c r="U9" s="15"/>
      <c r="V9" s="15"/>
      <c r="W9" s="15"/>
      <c r="X9" s="15"/>
    </row>
    <row r="10" spans="1:24" s="8" customFormat="1" ht="61" x14ac:dyDescent="0.2">
      <c r="A10" s="15" t="s">
        <v>231</v>
      </c>
      <c r="B10" s="15" t="s">
        <v>234</v>
      </c>
      <c r="C10" s="15" t="s">
        <v>71</v>
      </c>
      <c r="D10" s="15" t="str">
        <f>VLOOKUP(C10,'[1]Properties_List_and_Content '!A:C,3,0)</f>
        <v>single unit</v>
      </c>
      <c r="E10" s="15" t="s">
        <v>72</v>
      </c>
      <c r="F10" s="16" t="s">
        <v>30</v>
      </c>
      <c r="G10" s="9" t="s">
        <v>73</v>
      </c>
      <c r="H10" s="17" t="s">
        <v>74</v>
      </c>
      <c r="I10" s="15" t="s">
        <v>18</v>
      </c>
      <c r="J10" s="20" t="s">
        <v>19</v>
      </c>
      <c r="K10" s="15">
        <v>2</v>
      </c>
      <c r="L10" s="15">
        <v>3</v>
      </c>
      <c r="M10" s="15">
        <v>5</v>
      </c>
      <c r="N10" s="15" t="s">
        <v>20</v>
      </c>
      <c r="O10" s="15" t="s">
        <v>42</v>
      </c>
      <c r="P10" s="15" t="s">
        <v>21</v>
      </c>
      <c r="Q10" s="15" t="s">
        <v>22</v>
      </c>
      <c r="R10" s="15"/>
      <c r="S10" s="15"/>
      <c r="T10" s="15"/>
      <c r="U10" s="15"/>
      <c r="V10" s="15"/>
      <c r="W10" s="15"/>
      <c r="X10" s="15"/>
    </row>
    <row r="11" spans="1:24" s="8" customFormat="1" ht="61" x14ac:dyDescent="0.2">
      <c r="A11" s="15" t="s">
        <v>231</v>
      </c>
      <c r="B11" s="15" t="s">
        <v>234</v>
      </c>
      <c r="C11" s="15" t="s">
        <v>75</v>
      </c>
      <c r="D11" s="15" t="str">
        <f>VLOOKUP(C11,'[1]Properties_List_and_Content '!A:C,3,0)</f>
        <v>single unit</v>
      </c>
      <c r="E11" s="15" t="s">
        <v>76</v>
      </c>
      <c r="F11" s="16" t="s">
        <v>30</v>
      </c>
      <c r="G11" s="9" t="s">
        <v>77</v>
      </c>
      <c r="H11" s="17" t="s">
        <v>78</v>
      </c>
      <c r="I11" s="15" t="s">
        <v>18</v>
      </c>
      <c r="J11" s="20" t="s">
        <v>79</v>
      </c>
      <c r="K11" s="15">
        <v>3</v>
      </c>
      <c r="L11" s="15">
        <v>3</v>
      </c>
      <c r="M11" s="15">
        <v>5</v>
      </c>
      <c r="N11" s="15" t="s">
        <v>20</v>
      </c>
      <c r="O11" s="15" t="s">
        <v>21</v>
      </c>
      <c r="P11" s="15" t="s">
        <v>22</v>
      </c>
      <c r="Q11" s="15" t="s">
        <v>43</v>
      </c>
      <c r="R11" s="15"/>
      <c r="S11" s="15"/>
      <c r="T11" s="15"/>
      <c r="U11" s="15"/>
      <c r="V11" s="15"/>
      <c r="W11" s="15"/>
      <c r="X11" s="15"/>
    </row>
    <row r="12" spans="1:24" s="8" customFormat="1" ht="61" x14ac:dyDescent="0.2">
      <c r="A12" s="15" t="s">
        <v>231</v>
      </c>
      <c r="B12" s="15" t="s">
        <v>234</v>
      </c>
      <c r="C12" s="15" t="s">
        <v>80</v>
      </c>
      <c r="D12" s="15" t="str">
        <f>VLOOKUP(C12,'[1]Properties_List_and_Content '!A:C,3,0)</f>
        <v>single unit</v>
      </c>
      <c r="E12" s="15" t="s">
        <v>81</v>
      </c>
      <c r="F12" s="16" t="s">
        <v>15</v>
      </c>
      <c r="G12" s="9" t="s">
        <v>82</v>
      </c>
      <c r="H12" s="16" t="s">
        <v>83</v>
      </c>
      <c r="I12" s="15" t="s">
        <v>18</v>
      </c>
      <c r="J12" s="20" t="s">
        <v>24</v>
      </c>
      <c r="K12" s="15">
        <v>2</v>
      </c>
      <c r="L12" s="15">
        <v>2</v>
      </c>
      <c r="M12" s="15">
        <v>4</v>
      </c>
      <c r="N12" s="15" t="s">
        <v>20</v>
      </c>
      <c r="O12" s="15" t="s">
        <v>21</v>
      </c>
      <c r="P12" s="15" t="s">
        <v>21</v>
      </c>
      <c r="Q12" s="15"/>
      <c r="R12" s="15"/>
      <c r="S12" s="15"/>
      <c r="T12" s="15"/>
      <c r="U12" s="15"/>
      <c r="V12" s="15"/>
      <c r="W12" s="15"/>
      <c r="X12" s="15"/>
    </row>
    <row r="13" spans="1:24" s="7" customFormat="1" ht="61" x14ac:dyDescent="0.2">
      <c r="A13" s="15" t="s">
        <v>231</v>
      </c>
      <c r="B13" s="15" t="s">
        <v>234</v>
      </c>
      <c r="C13" s="15" t="s">
        <v>87</v>
      </c>
      <c r="D13" s="15" t="str">
        <f>VLOOKUP(C13,'[1]Properties_List_and_Content '!A:C,3,0)</f>
        <v>single unit</v>
      </c>
      <c r="E13" s="15" t="s">
        <v>88</v>
      </c>
      <c r="F13" s="16" t="s">
        <v>30</v>
      </c>
      <c r="G13" s="9" t="s">
        <v>89</v>
      </c>
      <c r="H13" s="17" t="s">
        <v>90</v>
      </c>
      <c r="I13" s="15" t="s">
        <v>18</v>
      </c>
      <c r="J13" s="20" t="s">
        <v>84</v>
      </c>
      <c r="K13" s="15">
        <v>2</v>
      </c>
      <c r="L13" s="15">
        <v>3</v>
      </c>
      <c r="M13" s="15">
        <v>5</v>
      </c>
      <c r="N13" s="15" t="s">
        <v>20</v>
      </c>
      <c r="O13" s="15" t="s">
        <v>21</v>
      </c>
      <c r="P13" s="15" t="s">
        <v>29</v>
      </c>
      <c r="Q13" s="15" t="s">
        <v>22</v>
      </c>
      <c r="R13" s="15"/>
      <c r="S13" s="15"/>
      <c r="T13" s="15"/>
      <c r="U13" s="15"/>
      <c r="V13" s="15"/>
      <c r="W13" s="15"/>
      <c r="X13" s="15"/>
    </row>
    <row r="14" spans="1:24" s="8" customFormat="1" ht="61" x14ac:dyDescent="0.2">
      <c r="A14" s="15" t="s">
        <v>231</v>
      </c>
      <c r="B14" s="15" t="s">
        <v>234</v>
      </c>
      <c r="C14" s="15" t="s">
        <v>91</v>
      </c>
      <c r="D14" s="15" t="str">
        <f>VLOOKUP(C14,'[1]Properties_List_and_Content '!A:C,3,0)</f>
        <v>single unit</v>
      </c>
      <c r="E14" s="15" t="s">
        <v>92</v>
      </c>
      <c r="F14" s="16" t="s">
        <v>15</v>
      </c>
      <c r="G14" s="9" t="s">
        <v>93</v>
      </c>
      <c r="H14" s="17" t="s">
        <v>94</v>
      </c>
      <c r="I14" s="15" t="s">
        <v>18</v>
      </c>
      <c r="J14" s="20" t="s">
        <v>95</v>
      </c>
      <c r="K14" s="15">
        <v>3</v>
      </c>
      <c r="L14" s="15">
        <v>2</v>
      </c>
      <c r="M14" s="15">
        <v>5</v>
      </c>
      <c r="N14" s="15" t="s">
        <v>20</v>
      </c>
      <c r="O14" s="15" t="s">
        <v>29</v>
      </c>
      <c r="P14" s="15" t="s">
        <v>29</v>
      </c>
      <c r="Q14" s="15"/>
      <c r="R14" s="15"/>
      <c r="S14" s="15"/>
      <c r="T14" s="15"/>
      <c r="U14" s="15"/>
      <c r="V14" s="15"/>
      <c r="W14" s="15"/>
      <c r="X14" s="15"/>
    </row>
    <row r="15" spans="1:24" s="8" customFormat="1" ht="61" x14ac:dyDescent="0.2">
      <c r="A15" s="15" t="s">
        <v>231</v>
      </c>
      <c r="B15" s="15" t="s">
        <v>234</v>
      </c>
      <c r="C15" s="15" t="s">
        <v>96</v>
      </c>
      <c r="D15" s="15" t="str">
        <f>VLOOKUP(C15,'[1]Properties_List_and_Content '!A:C,3,0)</f>
        <v>single unit</v>
      </c>
      <c r="E15" s="15" t="s">
        <v>97</v>
      </c>
      <c r="F15" s="16" t="s">
        <v>30</v>
      </c>
      <c r="G15" s="9" t="s">
        <v>98</v>
      </c>
      <c r="H15" s="17" t="s">
        <v>99</v>
      </c>
      <c r="I15" s="15" t="s">
        <v>18</v>
      </c>
      <c r="J15" s="20" t="s">
        <v>100</v>
      </c>
      <c r="K15" s="15">
        <v>3</v>
      </c>
      <c r="L15" s="15">
        <v>3</v>
      </c>
      <c r="M15" s="15">
        <v>6</v>
      </c>
      <c r="N15" s="15" t="s">
        <v>20</v>
      </c>
      <c r="O15" s="15" t="s">
        <v>42</v>
      </c>
      <c r="P15" s="15" t="s">
        <v>21</v>
      </c>
      <c r="Q15" s="15" t="s">
        <v>22</v>
      </c>
      <c r="R15" s="15"/>
      <c r="S15" s="15"/>
      <c r="T15" s="15"/>
      <c r="U15" s="15"/>
      <c r="V15" s="15"/>
      <c r="W15" s="15"/>
      <c r="X15" s="15"/>
    </row>
    <row r="16" spans="1:24" s="7" customFormat="1" ht="76" x14ac:dyDescent="0.2">
      <c r="A16" s="15" t="s">
        <v>231</v>
      </c>
      <c r="B16" s="15" t="s">
        <v>233</v>
      </c>
      <c r="C16" s="15" t="s">
        <v>101</v>
      </c>
      <c r="D16" s="15" t="str">
        <f>VLOOKUP(C16,'[1]Properties_List_and_Content '!A:C,3,0)</f>
        <v>single unit</v>
      </c>
      <c r="E16" s="15" t="s">
        <v>102</v>
      </c>
      <c r="F16" s="16" t="s">
        <v>23</v>
      </c>
      <c r="G16" s="9" t="s">
        <v>103</v>
      </c>
      <c r="H16" s="17" t="s">
        <v>104</v>
      </c>
      <c r="I16" s="15" t="s">
        <v>18</v>
      </c>
      <c r="J16" s="20" t="s">
        <v>85</v>
      </c>
      <c r="K16" s="15">
        <v>2</v>
      </c>
      <c r="L16" s="15">
        <v>1</v>
      </c>
      <c r="M16" s="15">
        <v>2</v>
      </c>
      <c r="N16" s="15" t="s">
        <v>20</v>
      </c>
      <c r="O16" s="15" t="s">
        <v>42</v>
      </c>
      <c r="P16" s="15"/>
      <c r="Q16" s="15"/>
      <c r="R16" s="15"/>
      <c r="S16" s="15"/>
      <c r="T16" s="15"/>
      <c r="U16" s="15"/>
      <c r="V16" s="15"/>
      <c r="W16" s="15"/>
      <c r="X16" s="15"/>
    </row>
    <row r="17" spans="1:24" s="8" customFormat="1" ht="76" x14ac:dyDescent="0.2">
      <c r="A17" s="15" t="s">
        <v>231</v>
      </c>
      <c r="B17" s="15" t="s">
        <v>233</v>
      </c>
      <c r="C17" s="15" t="s">
        <v>105</v>
      </c>
      <c r="D17" s="15" t="str">
        <f>VLOOKUP(C17,'[1]Properties_List_and_Content '!A:C,3,0)</f>
        <v>single unit</v>
      </c>
      <c r="E17" s="15" t="s">
        <v>106</v>
      </c>
      <c r="F17" s="16" t="s">
        <v>23</v>
      </c>
      <c r="G17" s="9" t="s">
        <v>107</v>
      </c>
      <c r="H17" s="17" t="s">
        <v>108</v>
      </c>
      <c r="I17" s="15" t="s">
        <v>18</v>
      </c>
      <c r="J17" s="20" t="s">
        <v>95</v>
      </c>
      <c r="K17" s="15">
        <v>2</v>
      </c>
      <c r="L17" s="15">
        <v>1</v>
      </c>
      <c r="M17" s="15">
        <v>2</v>
      </c>
      <c r="N17" s="15" t="s">
        <v>20</v>
      </c>
      <c r="O17" s="15" t="s">
        <v>21</v>
      </c>
      <c r="P17" s="15"/>
      <c r="Q17" s="15"/>
      <c r="R17" s="15"/>
      <c r="S17" s="15"/>
      <c r="T17" s="15"/>
      <c r="U17" s="15"/>
      <c r="V17" s="15"/>
      <c r="W17" s="15"/>
      <c r="X17" s="15"/>
    </row>
    <row r="18" spans="1:24" s="8" customFormat="1" ht="61" x14ac:dyDescent="0.2">
      <c r="A18" s="15" t="s">
        <v>231</v>
      </c>
      <c r="B18" s="15" t="s">
        <v>234</v>
      </c>
      <c r="C18" s="15" t="s">
        <v>109</v>
      </c>
      <c r="D18" s="15" t="str">
        <f>VLOOKUP(C18,'[1]Properties_List_and_Content '!A:C,3,0)</f>
        <v>single unit</v>
      </c>
      <c r="E18" s="15" t="s">
        <v>110</v>
      </c>
      <c r="F18" s="16" t="s">
        <v>23</v>
      </c>
      <c r="G18" s="9" t="s">
        <v>111</v>
      </c>
      <c r="H18" s="17" t="s">
        <v>112</v>
      </c>
      <c r="I18" s="15" t="s">
        <v>18</v>
      </c>
      <c r="J18" s="20" t="s">
        <v>65</v>
      </c>
      <c r="K18" s="15">
        <v>2</v>
      </c>
      <c r="L18" s="15">
        <v>1</v>
      </c>
      <c r="M18" s="15">
        <v>2</v>
      </c>
      <c r="N18" s="15" t="s">
        <v>20</v>
      </c>
      <c r="O18" s="15" t="s">
        <v>21</v>
      </c>
      <c r="P18" s="15"/>
      <c r="Q18" s="15"/>
      <c r="R18" s="15"/>
      <c r="S18" s="15"/>
      <c r="T18" s="15"/>
      <c r="U18" s="15"/>
      <c r="V18" s="15"/>
      <c r="W18" s="15"/>
      <c r="X18" s="15"/>
    </row>
    <row r="19" spans="1:24" s="8" customFormat="1" ht="61" x14ac:dyDescent="0.2">
      <c r="A19" s="15" t="s">
        <v>231</v>
      </c>
      <c r="B19" s="15" t="s">
        <v>234</v>
      </c>
      <c r="C19" s="15" t="s">
        <v>113</v>
      </c>
      <c r="D19" s="15" t="str">
        <f>VLOOKUP(C19,'[1]Properties_List_and_Content '!A:C,3,0)</f>
        <v>single unit</v>
      </c>
      <c r="E19" s="15" t="s">
        <v>114</v>
      </c>
      <c r="F19" s="16" t="s">
        <v>23</v>
      </c>
      <c r="G19" s="9" t="s">
        <v>115</v>
      </c>
      <c r="H19" s="16" t="s">
        <v>116</v>
      </c>
      <c r="I19" s="15" t="s">
        <v>18</v>
      </c>
      <c r="J19" s="20" t="s">
        <v>117</v>
      </c>
      <c r="K19" s="15">
        <v>1</v>
      </c>
      <c r="L19" s="15">
        <v>1</v>
      </c>
      <c r="M19" s="15">
        <v>2</v>
      </c>
      <c r="N19" s="15" t="s">
        <v>20</v>
      </c>
      <c r="O19" s="15" t="s">
        <v>21</v>
      </c>
      <c r="P19" s="15"/>
      <c r="Q19" s="15"/>
      <c r="R19" s="15"/>
      <c r="S19" s="15"/>
      <c r="T19" s="15"/>
      <c r="U19" s="15"/>
      <c r="V19" s="15"/>
      <c r="W19" s="15"/>
      <c r="X19" s="15"/>
    </row>
    <row r="20" spans="1:24" s="8" customFormat="1" ht="61" x14ac:dyDescent="0.2">
      <c r="A20" s="15" t="s">
        <v>231</v>
      </c>
      <c r="B20" s="15" t="s">
        <v>234</v>
      </c>
      <c r="C20" s="15" t="s">
        <v>118</v>
      </c>
      <c r="D20" s="15" t="str">
        <f>VLOOKUP(C20,'[1]Properties_List_and_Content '!A:C,3,0)</f>
        <v>single unit</v>
      </c>
      <c r="E20" s="15" t="s">
        <v>119</v>
      </c>
      <c r="F20" s="16" t="s">
        <v>15</v>
      </c>
      <c r="G20" s="9" t="s">
        <v>120</v>
      </c>
      <c r="H20" s="17" t="s">
        <v>121</v>
      </c>
      <c r="I20" s="15" t="s">
        <v>18</v>
      </c>
      <c r="J20" s="20" t="s">
        <v>122</v>
      </c>
      <c r="K20" s="15">
        <v>2</v>
      </c>
      <c r="L20" s="15">
        <v>2</v>
      </c>
      <c r="M20" s="15">
        <v>4</v>
      </c>
      <c r="N20" s="15" t="s">
        <v>20</v>
      </c>
      <c r="O20" s="15" t="s">
        <v>21</v>
      </c>
      <c r="P20" s="15" t="s">
        <v>21</v>
      </c>
      <c r="Q20" s="15"/>
      <c r="R20" s="15"/>
      <c r="S20" s="15"/>
      <c r="T20" s="15"/>
      <c r="U20" s="15"/>
      <c r="V20" s="15"/>
      <c r="W20" s="15"/>
      <c r="X20" s="15"/>
    </row>
    <row r="21" spans="1:24" s="7" customFormat="1" ht="61" x14ac:dyDescent="0.2">
      <c r="A21" s="15" t="s">
        <v>231</v>
      </c>
      <c r="B21" s="15" t="s">
        <v>234</v>
      </c>
      <c r="C21" s="15" t="s">
        <v>123</v>
      </c>
      <c r="D21" s="15" t="str">
        <f>VLOOKUP(C21,'[1]Properties_List_and_Content '!A:C,3,0)</f>
        <v>single unit</v>
      </c>
      <c r="E21" s="15" t="s">
        <v>124</v>
      </c>
      <c r="F21" s="16" t="s">
        <v>23</v>
      </c>
      <c r="G21" s="9" t="s">
        <v>125</v>
      </c>
      <c r="H21" s="17" t="s">
        <v>126</v>
      </c>
      <c r="I21" s="15" t="s">
        <v>18</v>
      </c>
      <c r="J21" s="20" t="s">
        <v>28</v>
      </c>
      <c r="K21" s="15">
        <v>1</v>
      </c>
      <c r="L21" s="15">
        <v>1</v>
      </c>
      <c r="M21" s="15">
        <v>2</v>
      </c>
      <c r="N21" s="15" t="s">
        <v>20</v>
      </c>
      <c r="O21" s="15" t="s">
        <v>21</v>
      </c>
      <c r="P21" s="15"/>
      <c r="Q21" s="15"/>
      <c r="R21" s="15"/>
      <c r="S21" s="15"/>
      <c r="T21" s="15"/>
      <c r="U21" s="15"/>
      <c r="V21" s="15"/>
      <c r="W21" s="15"/>
      <c r="X21" s="15"/>
    </row>
    <row r="22" spans="1:24" s="7" customFormat="1" ht="61" x14ac:dyDescent="0.2">
      <c r="A22" s="15" t="s">
        <v>231</v>
      </c>
      <c r="B22" s="15" t="s">
        <v>234</v>
      </c>
      <c r="C22" s="15" t="s">
        <v>127</v>
      </c>
      <c r="D22" s="15" t="str">
        <f>VLOOKUP(C22,'[1]Properties_List_and_Content '!A:C,3,0)</f>
        <v>single unit</v>
      </c>
      <c r="E22" s="15" t="s">
        <v>128</v>
      </c>
      <c r="F22" s="16" t="s">
        <v>23</v>
      </c>
      <c r="G22" s="9" t="s">
        <v>129</v>
      </c>
      <c r="H22" s="17" t="s">
        <v>130</v>
      </c>
      <c r="I22" s="15" t="s">
        <v>18</v>
      </c>
      <c r="J22" s="20" t="s">
        <v>131</v>
      </c>
      <c r="K22" s="15">
        <v>1</v>
      </c>
      <c r="L22" s="15">
        <v>1</v>
      </c>
      <c r="M22" s="15">
        <v>2</v>
      </c>
      <c r="N22" s="15" t="s">
        <v>20</v>
      </c>
      <c r="O22" s="15" t="s">
        <v>21</v>
      </c>
      <c r="P22" s="15"/>
      <c r="Q22" s="15"/>
      <c r="R22" s="15"/>
      <c r="S22" s="15"/>
      <c r="T22" s="15"/>
      <c r="U22" s="15"/>
      <c r="V22" s="15"/>
      <c r="W22" s="15"/>
      <c r="X22" s="15"/>
    </row>
    <row r="23" spans="1:24" s="7" customFormat="1" ht="61" x14ac:dyDescent="0.2">
      <c r="A23" s="15" t="s">
        <v>231</v>
      </c>
      <c r="B23" s="15" t="s">
        <v>234</v>
      </c>
      <c r="C23" s="15" t="s">
        <v>132</v>
      </c>
      <c r="D23" s="15" t="str">
        <f>VLOOKUP(C23,'[1]Properties_List_and_Content '!A:C,3,0)</f>
        <v>single unit</v>
      </c>
      <c r="E23" s="15" t="s">
        <v>133</v>
      </c>
      <c r="F23" s="16" t="s">
        <v>15</v>
      </c>
      <c r="G23" s="9" t="s">
        <v>134</v>
      </c>
      <c r="H23" s="17" t="s">
        <v>135</v>
      </c>
      <c r="I23" s="15" t="s">
        <v>18</v>
      </c>
      <c r="J23" s="20" t="s">
        <v>27</v>
      </c>
      <c r="K23" s="15">
        <v>2</v>
      </c>
      <c r="L23" s="15">
        <v>2</v>
      </c>
      <c r="M23" s="15">
        <v>4</v>
      </c>
      <c r="N23" s="15" t="s">
        <v>20</v>
      </c>
      <c r="O23" s="15" t="s">
        <v>21</v>
      </c>
      <c r="P23" s="15" t="s">
        <v>21</v>
      </c>
      <c r="Q23" s="15"/>
      <c r="R23" s="15"/>
      <c r="S23" s="15"/>
      <c r="T23" s="15"/>
      <c r="U23" s="15"/>
      <c r="V23" s="15"/>
      <c r="W23" s="15"/>
      <c r="X23" s="15"/>
    </row>
    <row r="24" spans="1:24" s="8" customFormat="1" ht="76" x14ac:dyDescent="0.2">
      <c r="A24" s="15" t="s">
        <v>231</v>
      </c>
      <c r="B24" s="15" t="s">
        <v>233</v>
      </c>
      <c r="C24" s="15" t="s">
        <v>136</v>
      </c>
      <c r="D24" s="15" t="str">
        <f>VLOOKUP(C24,'[1]Properties_List_and_Content '!A:C,3,0)</f>
        <v>single unit</v>
      </c>
      <c r="E24" s="15" t="s">
        <v>137</v>
      </c>
      <c r="F24" s="16" t="s">
        <v>23</v>
      </c>
      <c r="G24" s="9" t="s">
        <v>138</v>
      </c>
      <c r="H24" s="17" t="s">
        <v>139</v>
      </c>
      <c r="I24" s="15" t="s">
        <v>18</v>
      </c>
      <c r="J24" s="20" t="s">
        <v>65</v>
      </c>
      <c r="K24" s="15">
        <v>1</v>
      </c>
      <c r="L24" s="15">
        <v>1</v>
      </c>
      <c r="M24" s="15">
        <v>2</v>
      </c>
      <c r="N24" s="15" t="s">
        <v>20</v>
      </c>
      <c r="O24" s="15" t="s">
        <v>42</v>
      </c>
      <c r="P24" s="15"/>
      <c r="Q24" s="15"/>
      <c r="R24" s="15"/>
      <c r="S24" s="15"/>
      <c r="T24" s="15"/>
      <c r="U24" s="15"/>
      <c r="V24" s="15"/>
      <c r="W24" s="15"/>
      <c r="X24" s="15"/>
    </row>
    <row r="25" spans="1:24" s="8" customFormat="1" ht="91" x14ac:dyDescent="0.2">
      <c r="A25" s="15" t="s">
        <v>231</v>
      </c>
      <c r="B25" s="15" t="s">
        <v>233</v>
      </c>
      <c r="C25" s="15" t="s">
        <v>140</v>
      </c>
      <c r="D25" s="15" t="str">
        <f>VLOOKUP(C25,'[1]Properties_List_and_Content '!A:C,3,0)</f>
        <v>single unit</v>
      </c>
      <c r="E25" s="15" t="s">
        <v>141</v>
      </c>
      <c r="F25" s="16" t="s">
        <v>15</v>
      </c>
      <c r="G25" s="9" t="s">
        <v>142</v>
      </c>
      <c r="H25" s="17" t="s">
        <v>143</v>
      </c>
      <c r="I25" s="15" t="s">
        <v>18</v>
      </c>
      <c r="J25" s="20" t="s">
        <v>59</v>
      </c>
      <c r="K25" s="15">
        <v>2</v>
      </c>
      <c r="L25" s="15">
        <v>2</v>
      </c>
      <c r="M25" s="15">
        <v>4</v>
      </c>
      <c r="N25" s="15" t="s">
        <v>20</v>
      </c>
      <c r="O25" s="15" t="s">
        <v>21</v>
      </c>
      <c r="P25" s="15" t="s">
        <v>43</v>
      </c>
      <c r="Q25" s="15"/>
      <c r="R25" s="15"/>
      <c r="S25" s="15"/>
      <c r="T25" s="15"/>
      <c r="U25" s="15"/>
      <c r="V25" s="15"/>
      <c r="W25" s="15"/>
      <c r="X25" s="15"/>
    </row>
    <row r="26" spans="1:24" s="8" customFormat="1" ht="16" x14ac:dyDescent="0.2">
      <c r="A26" s="15" t="s">
        <v>231</v>
      </c>
      <c r="B26" s="15" t="s">
        <v>234</v>
      </c>
      <c r="C26" s="15" t="s">
        <v>144</v>
      </c>
      <c r="D26" s="15" t="str">
        <f>VLOOKUP(C26,'[1]Properties_List_and_Content '!A:C,3,0)</f>
        <v>single unit</v>
      </c>
      <c r="E26" s="15" t="s">
        <v>145</v>
      </c>
      <c r="F26" s="16" t="s">
        <v>23</v>
      </c>
      <c r="G26" s="9" t="s">
        <v>146</v>
      </c>
      <c r="H26" s="17" t="s">
        <v>147</v>
      </c>
      <c r="I26" s="15" t="s">
        <v>18</v>
      </c>
      <c r="J26" s="20" t="s">
        <v>148</v>
      </c>
      <c r="K26" s="15">
        <v>2</v>
      </c>
      <c r="L26" s="15">
        <v>1</v>
      </c>
      <c r="M26" s="15">
        <v>4</v>
      </c>
      <c r="N26" s="15" t="s">
        <v>20</v>
      </c>
      <c r="O26" s="15" t="s">
        <v>21</v>
      </c>
      <c r="P26" s="15"/>
      <c r="Q26" s="15"/>
      <c r="R26" s="15"/>
      <c r="S26" s="15"/>
      <c r="T26" s="15"/>
      <c r="U26" s="15"/>
      <c r="V26" s="15"/>
      <c r="W26" s="15"/>
      <c r="X26" s="15"/>
    </row>
    <row r="27" spans="1:24" s="8" customFormat="1" ht="91" x14ac:dyDescent="0.2">
      <c r="A27" s="15" t="s">
        <v>231</v>
      </c>
      <c r="B27" s="15" t="s">
        <v>234</v>
      </c>
      <c r="C27" s="15" t="s">
        <v>149</v>
      </c>
      <c r="D27" s="15" t="str">
        <f>VLOOKUP(C27,'[1]Properties_List_and_Content '!A:C,3,0)</f>
        <v>single unit</v>
      </c>
      <c r="E27" s="15" t="s">
        <v>150</v>
      </c>
      <c r="F27" s="16" t="s">
        <v>15</v>
      </c>
      <c r="G27" s="9" t="s">
        <v>151</v>
      </c>
      <c r="H27" s="17" t="s">
        <v>152</v>
      </c>
      <c r="I27" s="15" t="s">
        <v>18</v>
      </c>
      <c r="J27" s="20" t="s">
        <v>153</v>
      </c>
      <c r="K27" s="15">
        <v>3</v>
      </c>
      <c r="L27" s="15">
        <v>2</v>
      </c>
      <c r="M27" s="15">
        <v>4</v>
      </c>
      <c r="N27" s="15" t="s">
        <v>20</v>
      </c>
      <c r="O27" s="15" t="s">
        <v>21</v>
      </c>
      <c r="P27" s="15" t="s">
        <v>29</v>
      </c>
      <c r="Q27" s="15"/>
      <c r="R27" s="15"/>
      <c r="S27" s="15"/>
      <c r="T27" s="15"/>
      <c r="U27" s="15"/>
      <c r="V27" s="15"/>
      <c r="W27" s="15"/>
      <c r="X27" s="15"/>
    </row>
    <row r="28" spans="1:24" s="7" customFormat="1" ht="16" x14ac:dyDescent="0.2">
      <c r="A28" s="15" t="s">
        <v>231</v>
      </c>
      <c r="B28" s="15" t="s">
        <v>234</v>
      </c>
      <c r="C28" s="15" t="s">
        <v>154</v>
      </c>
      <c r="D28" s="15" t="str">
        <f>VLOOKUP(C28,'[1]Properties_List_and_Content '!A:C,3,0)</f>
        <v>single unit</v>
      </c>
      <c r="E28" s="15" t="s">
        <v>155</v>
      </c>
      <c r="F28" s="16" t="s">
        <v>30</v>
      </c>
      <c r="G28" s="9" t="s">
        <v>156</v>
      </c>
      <c r="H28" s="17" t="s">
        <v>157</v>
      </c>
      <c r="I28" s="15" t="s">
        <v>18</v>
      </c>
      <c r="J28" s="20" t="s">
        <v>85</v>
      </c>
      <c r="K28" s="15">
        <v>2</v>
      </c>
      <c r="L28" s="15">
        <v>3</v>
      </c>
      <c r="M28" s="15">
        <v>6</v>
      </c>
      <c r="N28" s="15">
        <v>0</v>
      </c>
      <c r="O28" s="15" t="s">
        <v>158</v>
      </c>
      <c r="P28" s="15" t="s">
        <v>158</v>
      </c>
      <c r="Q28" s="15" t="s">
        <v>158</v>
      </c>
      <c r="R28" s="15"/>
      <c r="S28" s="15"/>
      <c r="T28" s="15"/>
      <c r="U28" s="15"/>
      <c r="V28" s="15"/>
      <c r="W28" s="15"/>
      <c r="X28" s="15"/>
    </row>
    <row r="29" spans="1:24" s="7" customFormat="1" ht="61" x14ac:dyDescent="0.2">
      <c r="A29" s="15" t="s">
        <v>231</v>
      </c>
      <c r="B29" s="15" t="s">
        <v>234</v>
      </c>
      <c r="C29" s="15" t="s">
        <v>159</v>
      </c>
      <c r="D29" s="15" t="str">
        <f>VLOOKUP(C29,'[1]Properties_List_and_Content '!A:C,3,0)</f>
        <v>single unit</v>
      </c>
      <c r="E29" s="15" t="s">
        <v>160</v>
      </c>
      <c r="F29" s="16" t="s">
        <v>15</v>
      </c>
      <c r="G29" s="9" t="s">
        <v>161</v>
      </c>
      <c r="H29" s="17" t="s">
        <v>162</v>
      </c>
      <c r="I29" s="15" t="s">
        <v>18</v>
      </c>
      <c r="J29" s="20" t="s">
        <v>85</v>
      </c>
      <c r="K29" s="15">
        <v>3</v>
      </c>
      <c r="L29" s="15">
        <v>2</v>
      </c>
      <c r="M29" s="15">
        <v>4</v>
      </c>
      <c r="N29" s="15">
        <v>0</v>
      </c>
      <c r="O29" s="15" t="s">
        <v>21</v>
      </c>
      <c r="P29" s="15" t="s">
        <v>21</v>
      </c>
      <c r="Q29" s="15"/>
      <c r="R29" s="15"/>
      <c r="S29" s="15"/>
      <c r="T29" s="15"/>
      <c r="U29" s="15"/>
      <c r="V29" s="15"/>
      <c r="W29" s="15"/>
      <c r="X29" s="15"/>
    </row>
    <row r="30" spans="1:24" s="8" customFormat="1" ht="61" x14ac:dyDescent="0.2">
      <c r="A30" s="15" t="s">
        <v>231</v>
      </c>
      <c r="B30" s="15" t="s">
        <v>234</v>
      </c>
      <c r="C30" s="15" t="s">
        <v>163</v>
      </c>
      <c r="D30" s="15" t="str">
        <f>VLOOKUP(C30,'[1]Properties_List_and_Content '!A:C,3,0)</f>
        <v>single unit</v>
      </c>
      <c r="E30" s="15" t="s">
        <v>164</v>
      </c>
      <c r="F30" s="16" t="s">
        <v>15</v>
      </c>
      <c r="G30" s="9" t="s">
        <v>165</v>
      </c>
      <c r="H30" s="17" t="s">
        <v>166</v>
      </c>
      <c r="I30" s="15" t="s">
        <v>18</v>
      </c>
      <c r="J30" s="20" t="s">
        <v>167</v>
      </c>
      <c r="K30" s="15">
        <v>2</v>
      </c>
      <c r="L30" s="15">
        <v>2</v>
      </c>
      <c r="M30" s="15">
        <v>4</v>
      </c>
      <c r="N30" s="15">
        <v>0</v>
      </c>
      <c r="O30" s="15" t="s">
        <v>21</v>
      </c>
      <c r="P30" s="15" t="s">
        <v>21</v>
      </c>
      <c r="Q30" s="15"/>
      <c r="R30" s="15"/>
      <c r="S30" s="15"/>
      <c r="T30" s="15"/>
      <c r="U30" s="15"/>
      <c r="V30" s="15"/>
      <c r="W30" s="15"/>
      <c r="X30" s="15"/>
    </row>
    <row r="31" spans="1:24" s="7" customFormat="1" ht="31" x14ac:dyDescent="0.2">
      <c r="A31" s="15" t="s">
        <v>231</v>
      </c>
      <c r="B31" s="15" t="s">
        <v>233</v>
      </c>
      <c r="C31" s="15" t="s">
        <v>168</v>
      </c>
      <c r="D31" s="15" t="str">
        <f>VLOOKUP(C31,'[1]Properties_List_and_Content '!A:C,3,0)</f>
        <v>single unit</v>
      </c>
      <c r="E31" s="15" t="s">
        <v>169</v>
      </c>
      <c r="F31" s="16" t="s">
        <v>30</v>
      </c>
      <c r="G31" s="9" t="s">
        <v>170</v>
      </c>
      <c r="H31" s="17" t="s">
        <v>171</v>
      </c>
      <c r="I31" s="15" t="s">
        <v>18</v>
      </c>
      <c r="J31" s="20" t="s">
        <v>95</v>
      </c>
      <c r="K31" s="15">
        <v>3</v>
      </c>
      <c r="L31" s="15">
        <v>3</v>
      </c>
      <c r="M31" s="15">
        <v>4</v>
      </c>
      <c r="N31" s="15">
        <v>0</v>
      </c>
      <c r="O31" s="15" t="s">
        <v>22</v>
      </c>
      <c r="P31" s="15" t="s">
        <v>22</v>
      </c>
      <c r="Q31" s="15" t="s">
        <v>21</v>
      </c>
      <c r="R31" s="15"/>
      <c r="S31" s="15"/>
      <c r="T31" s="15"/>
      <c r="U31" s="15"/>
      <c r="V31" s="15"/>
      <c r="W31" s="15"/>
      <c r="X31" s="15"/>
    </row>
    <row r="32" spans="1:24" s="7" customFormat="1" ht="61" x14ac:dyDescent="0.2">
      <c r="A32" s="15" t="s">
        <v>231</v>
      </c>
      <c r="B32" s="15" t="s">
        <v>234</v>
      </c>
      <c r="C32" s="15" t="s">
        <v>172</v>
      </c>
      <c r="D32" s="15" t="str">
        <f>VLOOKUP(C32,'[1]Properties_List_and_Content '!A:C,3,0)</f>
        <v>single unit</v>
      </c>
      <c r="E32" s="15" t="s">
        <v>173</v>
      </c>
      <c r="F32" s="16" t="s">
        <v>15</v>
      </c>
      <c r="G32" s="9" t="s">
        <v>174</v>
      </c>
      <c r="H32" s="17" t="s">
        <v>175</v>
      </c>
      <c r="I32" s="15" t="s">
        <v>18</v>
      </c>
      <c r="J32" s="20" t="s">
        <v>176</v>
      </c>
      <c r="K32" s="15">
        <v>2</v>
      </c>
      <c r="L32" s="15">
        <v>2</v>
      </c>
      <c r="M32" s="15">
        <v>4</v>
      </c>
      <c r="N32" s="15">
        <v>0</v>
      </c>
      <c r="O32" s="15" t="s">
        <v>21</v>
      </c>
      <c r="P32" s="15" t="s">
        <v>43</v>
      </c>
      <c r="Q32" s="15"/>
      <c r="R32" s="15"/>
      <c r="S32" s="15"/>
      <c r="T32" s="15"/>
      <c r="U32" s="15"/>
      <c r="V32" s="15"/>
      <c r="W32" s="15"/>
      <c r="X32" s="15"/>
    </row>
    <row r="33" spans="1:24" s="7" customFormat="1" ht="61" x14ac:dyDescent="0.2">
      <c r="A33" s="15" t="s">
        <v>231</v>
      </c>
      <c r="B33" s="15" t="s">
        <v>234</v>
      </c>
      <c r="C33" s="15" t="s">
        <v>177</v>
      </c>
      <c r="D33" s="15" t="str">
        <f>VLOOKUP(C33,'[1]Properties_List_and_Content '!A:C,3,0)</f>
        <v>single unit</v>
      </c>
      <c r="E33" s="15" t="s">
        <v>178</v>
      </c>
      <c r="F33" s="16" t="s">
        <v>15</v>
      </c>
      <c r="G33" s="9" t="s">
        <v>179</v>
      </c>
      <c r="H33" s="17" t="s">
        <v>180</v>
      </c>
      <c r="I33" s="15" t="s">
        <v>18</v>
      </c>
      <c r="J33" s="20" t="s">
        <v>49</v>
      </c>
      <c r="K33" s="15">
        <v>2</v>
      </c>
      <c r="L33" s="15">
        <v>2</v>
      </c>
      <c r="M33" s="15">
        <v>4</v>
      </c>
      <c r="N33" s="19" t="s">
        <v>25</v>
      </c>
      <c r="O33" s="15" t="s">
        <v>21</v>
      </c>
      <c r="P33" s="15" t="s">
        <v>43</v>
      </c>
      <c r="Q33" s="15"/>
      <c r="R33" s="15"/>
      <c r="S33" s="15"/>
      <c r="T33" s="15"/>
      <c r="U33" s="15"/>
      <c r="V33" s="15"/>
      <c r="W33" s="15"/>
      <c r="X33" s="15"/>
    </row>
    <row r="34" spans="1:24" s="8" customFormat="1" ht="61" x14ac:dyDescent="0.2">
      <c r="A34" s="15" t="s">
        <v>231</v>
      </c>
      <c r="B34" s="15" t="s">
        <v>233</v>
      </c>
      <c r="C34" s="15" t="s">
        <v>181</v>
      </c>
      <c r="D34" s="15" t="str">
        <f>VLOOKUP(C34,'[1]Properties_List_and_Content '!A:C,3,0)</f>
        <v>single unit</v>
      </c>
      <c r="E34" s="15" t="s">
        <v>182</v>
      </c>
      <c r="F34" s="16" t="s">
        <v>15</v>
      </c>
      <c r="G34" s="9" t="s">
        <v>183</v>
      </c>
      <c r="H34" s="16" t="s">
        <v>184</v>
      </c>
      <c r="I34" s="15" t="s">
        <v>18</v>
      </c>
      <c r="J34" s="20" t="s">
        <v>36</v>
      </c>
      <c r="K34" s="15">
        <v>2</v>
      </c>
      <c r="L34" s="15">
        <v>2</v>
      </c>
      <c r="M34" s="15">
        <v>4</v>
      </c>
      <c r="N34" s="15">
        <v>0</v>
      </c>
      <c r="O34" s="15" t="s">
        <v>21</v>
      </c>
      <c r="P34" s="15" t="s">
        <v>21</v>
      </c>
      <c r="Q34" s="15"/>
      <c r="R34" s="15"/>
      <c r="S34" s="15"/>
      <c r="T34" s="15"/>
      <c r="U34" s="15"/>
      <c r="V34" s="15"/>
      <c r="W34" s="15"/>
      <c r="X34" s="15"/>
    </row>
    <row r="35" spans="1:24" s="7" customFormat="1" ht="46" x14ac:dyDescent="0.2">
      <c r="A35" s="15" t="s">
        <v>231</v>
      </c>
      <c r="B35" s="15" t="s">
        <v>234</v>
      </c>
      <c r="C35" s="15" t="s">
        <v>185</v>
      </c>
      <c r="D35" s="15" t="str">
        <f>VLOOKUP(C35,'[1]Properties_List_and_Content '!A:C,3,0)</f>
        <v>single unit</v>
      </c>
      <c r="E35" s="15" t="s">
        <v>186</v>
      </c>
      <c r="F35" s="16" t="s">
        <v>15</v>
      </c>
      <c r="G35" s="9" t="s">
        <v>187</v>
      </c>
      <c r="H35" s="16" t="s">
        <v>188</v>
      </c>
      <c r="I35" s="15" t="s">
        <v>18</v>
      </c>
      <c r="J35" s="20" t="s">
        <v>86</v>
      </c>
      <c r="K35" s="15">
        <v>2</v>
      </c>
      <c r="L35" s="15">
        <v>2</v>
      </c>
      <c r="M35" s="15">
        <v>4</v>
      </c>
      <c r="N35" s="15">
        <v>0</v>
      </c>
      <c r="O35" s="15" t="s">
        <v>21</v>
      </c>
      <c r="P35" s="15" t="s">
        <v>21</v>
      </c>
      <c r="Q35" s="15"/>
      <c r="R35" s="15"/>
      <c r="S35" s="15"/>
      <c r="T35" s="15"/>
      <c r="U35" s="15"/>
      <c r="V35" s="15"/>
      <c r="W35" s="15"/>
      <c r="X35" s="15"/>
    </row>
    <row r="36" spans="1:24" s="8" customFormat="1" ht="61" x14ac:dyDescent="0.2">
      <c r="A36" s="15" t="s">
        <v>231</v>
      </c>
      <c r="B36" s="15" t="s">
        <v>234</v>
      </c>
      <c r="C36" s="15" t="s">
        <v>189</v>
      </c>
      <c r="D36" s="15" t="str">
        <f>VLOOKUP(C36,'[1]Properties_List_and_Content '!A:C,3,0)</f>
        <v>single unit</v>
      </c>
      <c r="E36" s="15" t="s">
        <v>190</v>
      </c>
      <c r="F36" s="16" t="s">
        <v>26</v>
      </c>
      <c r="G36" s="9" t="s">
        <v>191</v>
      </c>
      <c r="H36" s="17" t="s">
        <v>192</v>
      </c>
      <c r="I36" s="15" t="s">
        <v>18</v>
      </c>
      <c r="J36" s="20" t="s">
        <v>65</v>
      </c>
      <c r="K36" s="15">
        <v>2</v>
      </c>
      <c r="L36" s="15">
        <v>1</v>
      </c>
      <c r="M36" s="15">
        <v>2</v>
      </c>
      <c r="N36" s="15">
        <v>0</v>
      </c>
      <c r="O36" s="15" t="s">
        <v>21</v>
      </c>
      <c r="P36" s="15"/>
      <c r="Q36" s="15"/>
      <c r="R36" s="15"/>
      <c r="S36" s="15"/>
      <c r="T36" s="15"/>
      <c r="U36" s="15"/>
      <c r="V36" s="15"/>
      <c r="W36" s="15"/>
      <c r="X36" s="15"/>
    </row>
    <row r="37" spans="1:24" s="8" customFormat="1" ht="61" x14ac:dyDescent="0.2">
      <c r="A37" s="15" t="s">
        <v>231</v>
      </c>
      <c r="B37" s="15" t="s">
        <v>234</v>
      </c>
      <c r="C37" s="15" t="s">
        <v>193</v>
      </c>
      <c r="D37" s="15" t="str">
        <f>VLOOKUP(C37,'[1]Properties_List_and_Content '!A:C,3,0)</f>
        <v>single unit</v>
      </c>
      <c r="E37" s="15" t="s">
        <v>194</v>
      </c>
      <c r="F37" s="16" t="s">
        <v>30</v>
      </c>
      <c r="G37" s="9" t="s">
        <v>195</v>
      </c>
      <c r="H37" s="17" t="s">
        <v>196</v>
      </c>
      <c r="I37" s="15" t="s">
        <v>18</v>
      </c>
      <c r="J37" s="20" t="s">
        <v>197</v>
      </c>
      <c r="K37" s="15">
        <v>3</v>
      </c>
      <c r="L37" s="15">
        <v>3</v>
      </c>
      <c r="M37" s="15">
        <v>7</v>
      </c>
      <c r="N37" s="15">
        <v>0</v>
      </c>
      <c r="O37" s="15" t="s">
        <v>29</v>
      </c>
      <c r="P37" s="15" t="s">
        <v>29</v>
      </c>
      <c r="Q37" s="15" t="s">
        <v>198</v>
      </c>
      <c r="R37" s="15"/>
      <c r="S37" s="15"/>
      <c r="T37" s="15"/>
      <c r="U37" s="15"/>
      <c r="V37" s="15"/>
      <c r="W37" s="15"/>
      <c r="X37" s="15"/>
    </row>
    <row r="38" spans="1:24" s="7" customFormat="1" ht="61" x14ac:dyDescent="0.2">
      <c r="A38" s="15" t="s">
        <v>231</v>
      </c>
      <c r="B38" s="15" t="s">
        <v>234</v>
      </c>
      <c r="C38" s="15" t="s">
        <v>199</v>
      </c>
      <c r="D38" s="15" t="str">
        <f>VLOOKUP(C38,'[1]Properties_List_and_Content '!A:C,3,0)</f>
        <v>single unit</v>
      </c>
      <c r="E38" s="15" t="s">
        <v>200</v>
      </c>
      <c r="F38" s="16" t="s">
        <v>15</v>
      </c>
      <c r="G38" s="9" t="s">
        <v>201</v>
      </c>
      <c r="H38" s="16" t="s">
        <v>202</v>
      </c>
      <c r="I38" s="15" t="s">
        <v>18</v>
      </c>
      <c r="J38" s="20" t="s">
        <v>27</v>
      </c>
      <c r="K38" s="15">
        <v>2</v>
      </c>
      <c r="L38" s="15">
        <v>2</v>
      </c>
      <c r="M38" s="15">
        <v>4</v>
      </c>
      <c r="N38" s="15">
        <v>0</v>
      </c>
      <c r="O38" s="15" t="s">
        <v>21</v>
      </c>
      <c r="P38" s="15"/>
      <c r="Q38" s="15"/>
      <c r="R38" s="15"/>
      <c r="S38" s="15"/>
      <c r="T38" s="15"/>
      <c r="U38" s="15"/>
      <c r="V38" s="15"/>
      <c r="W38" s="15"/>
      <c r="X38" s="15"/>
    </row>
    <row r="39" spans="1:24" s="8" customFormat="1" ht="61" x14ac:dyDescent="0.2">
      <c r="A39" s="15" t="s">
        <v>231</v>
      </c>
      <c r="B39" s="15" t="s">
        <v>234</v>
      </c>
      <c r="C39" s="15" t="s">
        <v>203</v>
      </c>
      <c r="D39" s="15" t="str">
        <f>VLOOKUP(C39,'[1]Properties_List_and_Content '!A:C,3,0)</f>
        <v>single unit</v>
      </c>
      <c r="E39" s="15" t="s">
        <v>204</v>
      </c>
      <c r="F39" s="16" t="s">
        <v>23</v>
      </c>
      <c r="G39" s="9" t="s">
        <v>205</v>
      </c>
      <c r="H39" s="17" t="s">
        <v>206</v>
      </c>
      <c r="I39" s="15" t="s">
        <v>18</v>
      </c>
      <c r="J39" s="20" t="s">
        <v>207</v>
      </c>
      <c r="K39" s="15">
        <v>1</v>
      </c>
      <c r="L39" s="15">
        <v>1</v>
      </c>
      <c r="M39" s="15">
        <v>2</v>
      </c>
      <c r="N39" s="15">
        <v>0</v>
      </c>
      <c r="O39" s="15" t="s">
        <v>21</v>
      </c>
      <c r="P39" s="15"/>
      <c r="Q39" s="15"/>
      <c r="R39" s="15"/>
      <c r="S39" s="15"/>
      <c r="T39" s="15"/>
      <c r="U39" s="15"/>
      <c r="V39" s="15"/>
      <c r="W39" s="15"/>
      <c r="X39" s="15"/>
    </row>
    <row r="40" spans="1:24" s="8" customFormat="1" ht="61" x14ac:dyDescent="0.2">
      <c r="A40" s="15" t="s">
        <v>231</v>
      </c>
      <c r="B40" s="15" t="s">
        <v>234</v>
      </c>
      <c r="C40" s="15" t="s">
        <v>208</v>
      </c>
      <c r="D40" s="15" t="str">
        <f>VLOOKUP(C40,'[1]Properties_List_and_Content '!A:C,3,0)</f>
        <v>single unit</v>
      </c>
      <c r="E40" s="15" t="s">
        <v>209</v>
      </c>
      <c r="F40" s="16" t="s">
        <v>15</v>
      </c>
      <c r="G40" s="9" t="s">
        <v>210</v>
      </c>
      <c r="H40" s="16" t="s">
        <v>211</v>
      </c>
      <c r="I40" s="15" t="s">
        <v>18</v>
      </c>
      <c r="J40" s="20" t="s">
        <v>100</v>
      </c>
      <c r="K40" s="15">
        <v>2</v>
      </c>
      <c r="L40" s="15">
        <v>2</v>
      </c>
      <c r="M40" s="15">
        <v>4</v>
      </c>
      <c r="N40" s="15">
        <v>0</v>
      </c>
      <c r="O40" s="15" t="s">
        <v>29</v>
      </c>
      <c r="P40" s="15" t="s">
        <v>29</v>
      </c>
      <c r="Q40" s="15"/>
      <c r="R40" s="15"/>
      <c r="S40" s="15"/>
      <c r="T40" s="15"/>
      <c r="U40" s="15"/>
      <c r="V40" s="15"/>
      <c r="W40" s="15"/>
      <c r="X40" s="15"/>
    </row>
    <row r="41" spans="1:24" s="8" customFormat="1" ht="61" x14ac:dyDescent="0.2">
      <c r="A41" s="15" t="s">
        <v>231</v>
      </c>
      <c r="B41" s="15" t="s">
        <v>234</v>
      </c>
      <c r="C41" s="15" t="s">
        <v>212</v>
      </c>
      <c r="D41" s="15" t="str">
        <f>VLOOKUP(C41,'[1]Properties_List_and_Content '!A:C,3,0)</f>
        <v>single unit</v>
      </c>
      <c r="E41" s="15" t="s">
        <v>213</v>
      </c>
      <c r="F41" s="16" t="s">
        <v>26</v>
      </c>
      <c r="G41" s="9" t="s">
        <v>214</v>
      </c>
      <c r="H41" s="17" t="s">
        <v>215</v>
      </c>
      <c r="I41" s="15" t="s">
        <v>18</v>
      </c>
      <c r="J41" s="20" t="s">
        <v>216</v>
      </c>
      <c r="K41" s="15">
        <v>2</v>
      </c>
      <c r="L41" s="15">
        <v>1</v>
      </c>
      <c r="M41" s="15">
        <v>2</v>
      </c>
      <c r="N41" s="15">
        <v>0</v>
      </c>
      <c r="O41" s="15" t="s">
        <v>21</v>
      </c>
      <c r="P41" s="15"/>
      <c r="Q41" s="15"/>
      <c r="R41" s="15"/>
      <c r="S41" s="15"/>
      <c r="T41" s="15"/>
      <c r="U41" s="15"/>
      <c r="V41" s="15"/>
      <c r="W41" s="15"/>
      <c r="X41" s="15"/>
    </row>
    <row r="42" spans="1:24" s="8" customFormat="1" ht="61" x14ac:dyDescent="0.2">
      <c r="A42" s="15" t="s">
        <v>231</v>
      </c>
      <c r="B42" s="15" t="s">
        <v>234</v>
      </c>
      <c r="C42" s="15" t="s">
        <v>217</v>
      </c>
      <c r="D42" s="15" t="str">
        <f>VLOOKUP(C42,'[1]Properties_List_and_Content '!A:C,3,0)</f>
        <v>single unit</v>
      </c>
      <c r="E42" s="15" t="s">
        <v>218</v>
      </c>
      <c r="F42" s="16" t="s">
        <v>26</v>
      </c>
      <c r="G42" s="9" t="s">
        <v>219</v>
      </c>
      <c r="H42" s="17" t="s">
        <v>220</v>
      </c>
      <c r="I42" s="15" t="s">
        <v>18</v>
      </c>
      <c r="J42" s="20" t="s">
        <v>221</v>
      </c>
      <c r="K42" s="15">
        <v>1</v>
      </c>
      <c r="L42" s="15">
        <v>1</v>
      </c>
      <c r="M42" s="15">
        <v>2</v>
      </c>
      <c r="N42" s="15">
        <v>0</v>
      </c>
      <c r="O42" s="15" t="s">
        <v>21</v>
      </c>
      <c r="P42" s="15"/>
      <c r="Q42" s="15"/>
      <c r="R42" s="15"/>
      <c r="S42" s="15"/>
      <c r="T42" s="15"/>
      <c r="U42" s="15"/>
      <c r="V42" s="15"/>
      <c r="W42" s="15"/>
      <c r="X42" s="15"/>
    </row>
    <row r="43" spans="1:24" s="8" customFormat="1" ht="61" x14ac:dyDescent="0.2">
      <c r="A43" s="15" t="s">
        <v>231</v>
      </c>
      <c r="B43" s="15" t="s">
        <v>234</v>
      </c>
      <c r="C43" s="15" t="s">
        <v>222</v>
      </c>
      <c r="D43" s="15" t="str">
        <f>VLOOKUP(C43,'[1]Properties_List_and_Content '!A:C,3,0)</f>
        <v>single unit</v>
      </c>
      <c r="E43" s="15" t="s">
        <v>223</v>
      </c>
      <c r="F43" s="16" t="s">
        <v>30</v>
      </c>
      <c r="G43" s="9" t="s">
        <v>224</v>
      </c>
      <c r="H43" s="17" t="s">
        <v>225</v>
      </c>
      <c r="I43" s="15" t="s">
        <v>18</v>
      </c>
      <c r="J43" s="20" t="s">
        <v>85</v>
      </c>
      <c r="K43" s="15">
        <v>2</v>
      </c>
      <c r="L43" s="15">
        <v>3</v>
      </c>
      <c r="M43" s="15">
        <v>5</v>
      </c>
      <c r="N43" s="15">
        <v>0</v>
      </c>
      <c r="O43" s="15" t="s">
        <v>29</v>
      </c>
      <c r="P43" s="15" t="s">
        <v>43</v>
      </c>
      <c r="Q43" s="15" t="s">
        <v>22</v>
      </c>
      <c r="R43" s="15"/>
      <c r="S43" s="15"/>
      <c r="T43" s="15"/>
      <c r="U43" s="15"/>
      <c r="V43" s="15"/>
      <c r="W43" s="15"/>
      <c r="X43" s="15"/>
    </row>
    <row r="44" spans="1:24" s="7" customFormat="1" ht="76" x14ac:dyDescent="0.2">
      <c r="A44" s="15" t="s">
        <v>231</v>
      </c>
      <c r="B44" s="15" t="s">
        <v>234</v>
      </c>
      <c r="C44" s="15" t="s">
        <v>226</v>
      </c>
      <c r="D44" s="15" t="str">
        <f>VLOOKUP(C44,'[1]Properties_List_and_Content '!A:C,3,0)</f>
        <v>single unit</v>
      </c>
      <c r="E44" s="15" t="s">
        <v>227</v>
      </c>
      <c r="F44" s="16" t="s">
        <v>15</v>
      </c>
      <c r="G44" s="9" t="s">
        <v>228</v>
      </c>
      <c r="H44" s="17" t="s">
        <v>229</v>
      </c>
      <c r="I44" s="15" t="s">
        <v>18</v>
      </c>
      <c r="J44" s="20" t="s">
        <v>230</v>
      </c>
      <c r="K44" s="15">
        <v>2</v>
      </c>
      <c r="L44" s="15">
        <v>2</v>
      </c>
      <c r="M44" s="15">
        <v>4</v>
      </c>
      <c r="N44" s="15">
        <v>0</v>
      </c>
      <c r="O44" s="15" t="s">
        <v>21</v>
      </c>
      <c r="P44" s="15" t="s">
        <v>29</v>
      </c>
      <c r="Q44" s="15"/>
      <c r="R44" s="15"/>
      <c r="S44" s="15"/>
      <c r="T44" s="15"/>
      <c r="U44" s="15"/>
      <c r="V44" s="15"/>
      <c r="W44" s="15"/>
      <c r="X44" s="15"/>
    </row>
  </sheetData>
  <autoFilter ref="C1:X44" xr:uid="{73DA674B-8387-439E-B317-4C732276A076}">
    <sortState xmlns:xlrd2="http://schemas.microsoft.com/office/spreadsheetml/2017/richdata2" ref="C2:X44">
      <sortCondition sortBy="cellColor" ref="C1:C44" dxfId="37"/>
    </sortState>
  </autoFilter>
  <conditionalFormatting sqref="A1:B1">
    <cfRule type="expression" dxfId="36" priority="1">
      <formula>#REF!="Click the button to Start your Property mapping ---&gt;"</formula>
    </cfRule>
  </conditionalFormatting>
  <conditionalFormatting sqref="E1:G4 E5:F18 E20:F1048576 H36">
    <cfRule type="expression" dxfId="35" priority="52">
      <formula>#REF!="Click the button to Start your Property mapping ---&gt;"</formula>
    </cfRule>
  </conditionalFormatting>
  <conditionalFormatting sqref="H3 H11 H13 H16">
    <cfRule type="expression" dxfId="34" priority="2">
      <formula>#REF!="Click the button to Start your Property mapping ---&gt;"</formula>
    </cfRule>
  </conditionalFormatting>
  <conditionalFormatting sqref="H20">
    <cfRule type="expression" dxfId="33" priority="3">
      <formula>#REF!="Click the button to Start your Property mapping ---&gt;"</formula>
    </cfRule>
  </conditionalFormatting>
  <conditionalFormatting sqref="J5:W44 I2:X3 J4:X4 I4:I44 G5:G44">
    <cfRule type="expression" dxfId="32" priority="63">
      <formula>SEARCH("_1",#REF!)</formula>
    </cfRule>
  </conditionalFormatting>
  <conditionalFormatting sqref="J5:W44 N1:X1 I2:X3 J4:X4 I4:I44 G5:G44">
    <cfRule type="expression" dxfId="31" priority="54">
      <formula>#REF!="Click the button to start next step ---&gt;"</formula>
    </cfRule>
  </conditionalFormatting>
  <conditionalFormatting sqref="O28">
    <cfRule type="expression" dxfId="30" priority="34">
      <formula>$K28&lt;=1</formula>
    </cfRule>
    <cfRule type="expression" dxfId="29" priority="35">
      <formula>$K28&lt;=2</formula>
    </cfRule>
  </conditionalFormatting>
  <conditionalFormatting sqref="O5:P5 O6:O1048576 P7">
    <cfRule type="expression" dxfId="28" priority="62">
      <formula>$K5&lt;=1</formula>
    </cfRule>
  </conditionalFormatting>
  <conditionalFormatting sqref="P2:P4">
    <cfRule type="expression" dxfId="27" priority="64">
      <formula>$L2&lt;=1</formula>
    </cfRule>
  </conditionalFormatting>
  <conditionalFormatting sqref="P5:P44">
    <cfRule type="expression" dxfId="26" priority="61">
      <formula>$K5&lt;=2</formula>
    </cfRule>
  </conditionalFormatting>
  <conditionalFormatting sqref="P11">
    <cfRule type="expression" dxfId="25" priority="46">
      <formula>$K11&lt;=1</formula>
    </cfRule>
  </conditionalFormatting>
  <conditionalFormatting sqref="P15">
    <cfRule type="expression" dxfId="24" priority="41">
      <formula>$K15&lt;=1</formula>
    </cfRule>
    <cfRule type="expression" dxfId="23" priority="42">
      <formula>$K15&lt;=3</formula>
    </cfRule>
  </conditionalFormatting>
  <conditionalFormatting sqref="P18">
    <cfRule type="expression" dxfId="22" priority="40">
      <formula>$K18&lt;=1</formula>
    </cfRule>
  </conditionalFormatting>
  <conditionalFormatting sqref="P20">
    <cfRule type="expression" dxfId="21" priority="39">
      <formula>$K20&lt;=1</formula>
    </cfRule>
  </conditionalFormatting>
  <conditionalFormatting sqref="P23">
    <cfRule type="expression" dxfId="20" priority="37">
      <formula>$K23&lt;=1</formula>
    </cfRule>
  </conditionalFormatting>
  <conditionalFormatting sqref="P26">
    <cfRule type="expression" dxfId="19" priority="36">
      <formula>$K26&lt;=1</formula>
    </cfRule>
  </conditionalFormatting>
  <conditionalFormatting sqref="P41">
    <cfRule type="expression" dxfId="18" priority="33">
      <formula>$K41&lt;=1</formula>
    </cfRule>
  </conditionalFormatting>
  <conditionalFormatting sqref="P12:Q12">
    <cfRule type="expression" dxfId="17" priority="44">
      <formula>$K12&lt;=1</formula>
    </cfRule>
  </conditionalFormatting>
  <conditionalFormatting sqref="Q2:Q4">
    <cfRule type="expression" dxfId="16" priority="65">
      <formula>$L2&lt;=2</formula>
    </cfRule>
  </conditionalFormatting>
  <conditionalFormatting sqref="Q5:Q1048576">
    <cfRule type="expression" dxfId="15" priority="5">
      <formula>$K5&lt;=3</formula>
    </cfRule>
  </conditionalFormatting>
  <conditionalFormatting sqref="Q6">
    <cfRule type="expression" dxfId="14" priority="49">
      <formula>$K6&lt;=2</formula>
    </cfRule>
  </conditionalFormatting>
  <conditionalFormatting sqref="Q12">
    <cfRule type="expression" dxfId="13" priority="45">
      <formula>$K12&lt;=2</formula>
    </cfRule>
  </conditionalFormatting>
  <conditionalFormatting sqref="R2:R4">
    <cfRule type="expression" dxfId="12" priority="66">
      <formula>$L2&lt;=3</formula>
    </cfRule>
  </conditionalFormatting>
  <conditionalFormatting sqref="R5:R1048576">
    <cfRule type="expression" dxfId="11" priority="60">
      <formula>$K5&lt;=4</formula>
    </cfRule>
  </conditionalFormatting>
  <conditionalFormatting sqref="S2:S4">
    <cfRule type="expression" dxfId="10" priority="67">
      <formula>$L2&lt;=4</formula>
    </cfRule>
  </conditionalFormatting>
  <conditionalFormatting sqref="S5:S1048576">
    <cfRule type="expression" dxfId="9" priority="59">
      <formula>$K5&lt;=5</formula>
    </cfRule>
  </conditionalFormatting>
  <conditionalFormatting sqref="T2:T4">
    <cfRule type="expression" dxfId="8" priority="68">
      <formula>$L2&lt;=5</formula>
    </cfRule>
  </conditionalFormatting>
  <conditionalFormatting sqref="T5:T1048576">
    <cfRule type="expression" dxfId="7" priority="58">
      <formula>$K5&lt;=6</formula>
    </cfRule>
  </conditionalFormatting>
  <conditionalFormatting sqref="U2:U4">
    <cfRule type="expression" dxfId="6" priority="69">
      <formula>$L2&lt;=6</formula>
    </cfRule>
  </conditionalFormatting>
  <conditionalFormatting sqref="U5:U1048576">
    <cfRule type="expression" dxfId="5" priority="57">
      <formula>$K5&lt;=7</formula>
    </cfRule>
  </conditionalFormatting>
  <conditionalFormatting sqref="V2:V4">
    <cfRule type="expression" dxfId="4" priority="70">
      <formula>$L2&lt;=7</formula>
    </cfRule>
  </conditionalFormatting>
  <conditionalFormatting sqref="V5:V1048576">
    <cfRule type="expression" dxfId="3" priority="56">
      <formula>$K5&lt;=8</formula>
    </cfRule>
  </conditionalFormatting>
  <conditionalFormatting sqref="W2:W4">
    <cfRule type="expression" dxfId="2" priority="71">
      <formula>$L2&lt;=8</formula>
    </cfRule>
  </conditionalFormatting>
  <conditionalFormatting sqref="W5:W1048576">
    <cfRule type="expression" dxfId="1" priority="55">
      <formula>$K5&lt;=9</formula>
    </cfRule>
  </conditionalFormatting>
  <conditionalFormatting sqref="X2:X4">
    <cfRule type="expression" dxfId="0" priority="72">
      <formula>$L2&lt;=9</formula>
    </cfRule>
  </conditionalFormatting>
  <dataValidations count="2">
    <dataValidation type="whole" allowBlank="1" showInputMessage="1" showErrorMessage="1" errorTitle="Allowed values are 0 to 20" sqref="J5:K44 K2:L4" xr:uid="{E9D17EA9-8EC0-4E62-9CA5-997DC367B448}">
      <formula1>0</formula1>
      <formula2>20</formula2>
    </dataValidation>
    <dataValidation type="textLength" showErrorMessage="1" errorTitle="Column D: Room Code" error="The minimum is 40 characters" prompt="The minimum is 40 characters" sqref="G5:G1048576" xr:uid="{D6581AE6-2F61-45C5-ACF0-F07076FF2325}">
      <formula1>0</formula1>
      <formula2>40</formula2>
    </dataValidation>
  </dataValidations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a2b4d3d0-d4d5-41cc-b2e6-1a1750984693}" enabled="1" method="Standard" siteId="{79efa2e2-5409-4b35-9714-ada0138ee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Shimada-Martinson</dc:creator>
  <cp:lastModifiedBy>Elias Antonio Calixto Salazar</cp:lastModifiedBy>
  <dcterms:created xsi:type="dcterms:W3CDTF">2026-10-13T02:40:19Z</dcterms:created>
  <dcterms:modified xsi:type="dcterms:W3CDTF">2026-10-20T14:28:34Z</dcterms:modified>
</cp:coreProperties>
</file>